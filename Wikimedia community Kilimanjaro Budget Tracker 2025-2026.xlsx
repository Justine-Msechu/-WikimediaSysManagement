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Dashboard" sheetId="1" r:id="rId4"/>
    <sheet state="visible" name="📋 Activity Index" sheetId="2" r:id="rId5"/>
    <sheet state="visible" name="Monthly In-Personal Edit-a-thon" sheetId="3" r:id="rId6"/>
    <sheet state="visible" name="Aug25 Monthly Edit-a-thon" sheetId="4" r:id="rId7"/>
    <sheet state="visible" name="Oct25 Monthly Edit-a-thon" sheetId="5" r:id="rId8"/>
    <sheet state="visible" name="Dec25 Monthly Edit-a-thon" sheetId="6" r:id="rId9"/>
    <sheet state="visible" name="Oct25 Wikimalkia Training" sheetId="7" r:id="rId10"/>
    <sheet state="visible" name="Dec25 Wikimalkia Edit-a-thon" sheetId="8" r:id="rId11"/>
    <sheet state="visible" name="Nov25 Error Fix Workshop" sheetId="9" r:id="rId12"/>
    <sheet state="visible" name="Jan26 Error Fix Training" sheetId="10" r:id="rId13"/>
    <sheet state="visible" name="Lets Connect Event 1" sheetId="11" r:id="rId14"/>
    <sheet state="visible" name="Kiwix for shool-program" sheetId="12" r:id="rId15"/>
    <sheet state="visible" name="Mar26 Monthly Edit-a-thon" sheetId="13" r:id="rId16"/>
    <sheet state="visible" name="Feb26 Wikimalkia Workshop" sheetId="14" r:id="rId17"/>
    <sheet state="visible" name="Apr26 Monthly Edit-a-thon" sheetId="15" r:id="rId18"/>
    <sheet state="visible" name="Feb26 Feminism Folklore" sheetId="16" r:id="rId19"/>
    <sheet state="visible" name="Mar26 WCK Training" sheetId="17" r:id="rId20"/>
    <sheet state="visible" name="Lets Connect Event 2" sheetId="18" r:id="rId21"/>
    <sheet state="visible" name="May26 WCK Wrap-up" sheetId="19" r:id="rId22"/>
    <sheet state="visible" name="💰 Salary &amp; Stipend" sheetId="20" r:id="rId23"/>
    <sheet state="visible" name="🗂️ Administrative Costs" sheetId="21" r:id="rId24"/>
  </sheets>
  <definedNames/>
  <calcPr/>
  <extLst>
    <ext uri="GoogleSheetsCustomDataVersion2">
      <go:sheetsCustomData xmlns:go="http://customooxmlschemas.google.com/" r:id="rId25" roundtripDataChecksum="ajVhwLIwWoCLvMM+goZeduWYS94bgNNN7H1h5khz0BM="/>
    </ext>
  </extLst>
</workbook>
</file>

<file path=xl/sharedStrings.xml><?xml version="1.0" encoding="utf-8"?>
<sst xmlns="http://schemas.openxmlformats.org/spreadsheetml/2006/main" count="1270" uniqueCount="246">
  <si>
    <t xml:space="preserve"> WIKIMEDIA COMMUNITY KILIMANJARO</t>
  </si>
  <si>
    <t>Activity Expense Dashboard  —  August 2025 to May 2026</t>
  </si>
  <si>
    <t>TOTAL ACTIVITIES</t>
  </si>
  <si>
    <t>COMPLETED</t>
  </si>
  <si>
    <t>PLANNED</t>
  </si>
  <si>
    <t>TOTAL SPENT (USD)</t>
  </si>
  <si>
    <t xml:space="preserve">  📂  QUICK ACCESS — CLICK ANY EVENT TO OPEN ITS EXPENSE SHEET</t>
  </si>
  <si>
    <t>#</t>
  </si>
  <si>
    <t>Activity</t>
  </si>
  <si>
    <t>Date</t>
  </si>
  <si>
    <t>Status</t>
  </si>
  <si>
    <t>Total (TZS)</t>
  </si>
  <si>
    <t>Total (USD)</t>
  </si>
  <si>
    <t>Open ↗</t>
  </si>
  <si>
    <t xml:space="preserve">  Wiki Monthly Series</t>
  </si>
  <si>
    <t>Monthly In-Person Edit-a-thon — August 2025</t>
  </si>
  <si>
    <t>August 2025</t>
  </si>
  <si>
    <t>Completed</t>
  </si>
  <si>
    <t>📂 Open</t>
  </si>
  <si>
    <t>Monthly In-Person Edit-a-thon — March 2026</t>
  </si>
  <si>
    <t>March 2026</t>
  </si>
  <si>
    <t>Planned</t>
  </si>
  <si>
    <t>Monthly In-Person Edit-a-thon — April 2026</t>
  </si>
  <si>
    <t>April 2026</t>
  </si>
  <si>
    <t>Monthly In-Personal Edit-a-thon - July</t>
  </si>
  <si>
    <t>Monthly In-Person Edit-a-thon — October 2025</t>
  </si>
  <si>
    <t>October 2025</t>
  </si>
  <si>
    <t>Monthly In-Person Edit-a-thon — December 2025</t>
  </si>
  <si>
    <t>20.12.2025</t>
  </si>
  <si>
    <t xml:space="preserve">  Wikimalkia</t>
  </si>
  <si>
    <t>Wikimalkia Training — October 2025</t>
  </si>
  <si>
    <t>Wikimalkia Workshop — February 2026</t>
  </si>
  <si>
    <t>February 2026</t>
  </si>
  <si>
    <t>Wikimalkia Edit-a-thon — December 2025</t>
  </si>
  <si>
    <t>December 2025</t>
  </si>
  <si>
    <t xml:space="preserve">  Error, Fix and Contribute</t>
  </si>
  <si>
    <t>Error, Fix and Contribute Workshop — November 2025</t>
  </si>
  <si>
    <t>November 2025</t>
  </si>
  <si>
    <t>Error, Fix and Contribute Training — January 2026</t>
  </si>
  <si>
    <t>January 2026</t>
  </si>
  <si>
    <t xml:space="preserve">  Let's Connect</t>
  </si>
  <si>
    <t>Let's Connect: Inclusive Collaboration Space — Event 2 of 2</t>
  </si>
  <si>
    <t>[Date TBD]</t>
  </si>
  <si>
    <t>Let's Connect: Inclusive Collaboration Space — Event 1 of 2</t>
  </si>
  <si>
    <t>[Date of Event 1]</t>
  </si>
  <si>
    <t xml:space="preserve">  Feminism and Folklore</t>
  </si>
  <si>
    <t>Feminism and Folklore Edit-a-thon — February 2026</t>
  </si>
  <si>
    <t xml:space="preserve">  Wikimedia Community Kilimanjaro</t>
  </si>
  <si>
    <t>Wikimedia Community Kilimanjaro Training — March 2026</t>
  </si>
  <si>
    <t>Kiwix Program for Schools</t>
  </si>
  <si>
    <t>August-November</t>
  </si>
  <si>
    <t>Wikimedia Community Kilimanjaro Wrap-up — May 2026</t>
  </si>
  <si>
    <t>May 2026</t>
  </si>
  <si>
    <t>GRAND TOTAL — ALL ACTIVITIES + SALARY + ADMIN</t>
  </si>
  <si>
    <t xml:space="preserve">  📊  OTHER SHEETS — QUICK ACCESS</t>
  </si>
  <si>
    <t>📋</t>
  </si>
  <si>
    <t>All activities  consolidated budget tracker</t>
  </si>
  <si>
    <t>💰</t>
  </si>
  <si>
    <t>Staff salaries, stipends, honoraria &amp; facilitator fees</t>
  </si>
  <si>
    <t>🗂️</t>
  </si>
  <si>
    <t>Social media, communication, printing &amp; bank charges</t>
  </si>
  <si>
    <t>★  Click any activity name or 📂 Open button to navigate directly to its expense sheet.  All totals update automatically as you fill in data.</t>
  </si>
  <si>
    <t>◀  BACK TO DASHBOARD</t>
  </si>
  <si>
    <t>WIKIMEDIA COMMUNITY KILIMANJARO  EXPENSE REPORTS INDEX</t>
  </si>
  <si>
    <t>Click any activity row to navigate to its expense sheet. Fill in blue cells with actual figures.</t>
  </si>
  <si>
    <t>Program</t>
  </si>
  <si>
    <t>Sheet Name</t>
  </si>
  <si>
    <t>Monthly In-Person Edit-a-thon July 2025</t>
  </si>
  <si>
    <t>Wiki Monthly Edit-a-thon</t>
  </si>
  <si>
    <t>Aug25 Monthly Edit-a-thon</t>
  </si>
  <si>
    <t>Oct25 Monthly Edit-a-thon</t>
  </si>
  <si>
    <t>20.12.2024</t>
  </si>
  <si>
    <t>Dec25 Monthly Edit-a-thon</t>
  </si>
  <si>
    <t>Wikimalkia</t>
  </si>
  <si>
    <t>Oct25 Wikimalkia Training</t>
  </si>
  <si>
    <t>Dec25 Wikimalkia Edit-a-thon</t>
  </si>
  <si>
    <t>Error, Fix and Contribute</t>
  </si>
  <si>
    <t>Nov25 Error Fix Workshop</t>
  </si>
  <si>
    <t xml:space="preserve"> </t>
  </si>
  <si>
    <t>Jan26 Error Fix Training</t>
  </si>
  <si>
    <t>Let's Connect — Inclusive Collaboration Space</t>
  </si>
  <si>
    <t>Lets Connect Event 1</t>
  </si>
  <si>
    <t>Mar26 Monthly Edit-a-thon</t>
  </si>
  <si>
    <t>Apr26 Monthly Edit-a-thon</t>
  </si>
  <si>
    <t>Feb26 Wikimalkia Workshop</t>
  </si>
  <si>
    <t>Feminism and Folklore</t>
  </si>
  <si>
    <t>Feb26 Feminism Folklore</t>
  </si>
  <si>
    <t xml:space="preserve">September - November </t>
  </si>
  <si>
    <t>Kiwix for school-program</t>
  </si>
  <si>
    <t>Wikimedia Community Kilimanjaro</t>
  </si>
  <si>
    <t>Mar26 WCK Training</t>
  </si>
  <si>
    <t>Lets Connect Event 2</t>
  </si>
  <si>
    <t>GRAND TOTAL — ALL ACTIVITIES</t>
  </si>
  <si>
    <t>★  TZS column = enter actual spend in Tanzanian Shillings.  USD pulls automatically from each sheet.  Grand total includes activity expenses + salary/stipend + admin costs.</t>
  </si>
  <si>
    <t xml:space="preserve">  TOTAL BY PROGRAM</t>
  </si>
  <si>
    <t>Total TZS</t>
  </si>
  <si>
    <t>Total USD</t>
  </si>
  <si>
    <t>Wiki Monthly Series</t>
  </si>
  <si>
    <t>Let's Connect</t>
  </si>
  <si>
    <t xml:space="preserve"> Salary &amp; Stipend</t>
  </si>
  <si>
    <t>Administrative Costs</t>
  </si>
  <si>
    <t>WIKIMEDIA COMMUNITY KILIMANJARO —ACTIVITY EXPENSE REPORT</t>
  </si>
  <si>
    <t>◀  BACK TO INDEX</t>
  </si>
  <si>
    <t>Project</t>
  </si>
  <si>
    <t>Date of event</t>
  </si>
  <si>
    <t>Venue</t>
  </si>
  <si>
    <t>No. of Participants</t>
  </si>
  <si>
    <t>Prepared by</t>
  </si>
  <si>
    <t xml:space="preserve">  Payment details</t>
  </si>
  <si>
    <t>Conversion rate (xe.com)</t>
  </si>
  <si>
    <t xml:space="preserve">  Expense details</t>
  </si>
  <si>
    <t>Date of conversion:</t>
  </si>
  <si>
    <t>[Enter date currency was converted]</t>
  </si>
  <si>
    <t>Description</t>
  </si>
  <si>
    <t>Comments</t>
  </si>
  <si>
    <t>Cost of Unity in Local currency</t>
  </si>
  <si>
    <t>Cost (in local currency)</t>
  </si>
  <si>
    <t>Expense type</t>
  </si>
  <si>
    <t>Receipt?</t>
  </si>
  <si>
    <t>Number of Unit</t>
  </si>
  <si>
    <t>Local currency
(please select)</t>
  </si>
  <si>
    <t>Conversion rate
(if known)</t>
  </si>
  <si>
    <t>Receipt converted
to USD</t>
  </si>
  <si>
    <t>Venue / Room Hire</t>
  </si>
  <si>
    <t>Venue hire for the event</t>
  </si>
  <si>
    <t>TZS - Tanzanian Shilling</t>
  </si>
  <si>
    <t>Food and drinks</t>
  </si>
  <si>
    <t>Refreshments for participants</t>
  </si>
  <si>
    <t>Participants transport</t>
  </si>
  <si>
    <t>Transport support for participants</t>
  </si>
  <si>
    <t>Transport</t>
  </si>
  <si>
    <t>Facilitator fees</t>
  </si>
  <si>
    <t>Trainer / facilitator fee</t>
  </si>
  <si>
    <t>Facilitators(3)</t>
  </si>
  <si>
    <t>Equipment rent(Camera, Projector)</t>
  </si>
  <si>
    <t>Equpment rent like projector, camera and laptops</t>
  </si>
  <si>
    <t>Equpment</t>
  </si>
  <si>
    <t>Training materials and Communication</t>
  </si>
  <si>
    <t>Printed handouts and stationery</t>
  </si>
  <si>
    <t>Materials</t>
  </si>
  <si>
    <t>Internet package</t>
  </si>
  <si>
    <t>Internet/Supplies</t>
  </si>
  <si>
    <t>Bank charges</t>
  </si>
  <si>
    <t>You wish to be reimbursed in :</t>
  </si>
  <si>
    <t>USD</t>
  </si>
  <si>
    <t>★ Blue cells = fill in your data.  Conversion rate auto-applies.  Update xe.com rate before submission.</t>
  </si>
  <si>
    <t>Cost of unit in Local currency</t>
  </si>
  <si>
    <t>WIKIMEDIA COMMUNITY KILIMANJARO — ACTIVITY EXPENSE REPORT</t>
  </si>
  <si>
    <t>WIKIMEDIA COMMUNITY TANZANIA — ACTIVITY EXPENSE REPORT</t>
  </si>
  <si>
    <t>Facilitator</t>
  </si>
  <si>
    <t>Training materials</t>
  </si>
  <si>
    <t>(Camera rent)</t>
  </si>
  <si>
    <t>Kiwix for School program</t>
  </si>
  <si>
    <t>Kiwix for School program (from august to september)</t>
  </si>
  <si>
    <t>Stipend for Trainers</t>
  </si>
  <si>
    <t>The amount help to pay four trainers (Transport to schools and refresment)</t>
  </si>
  <si>
    <t>Trainers for different school</t>
  </si>
  <si>
    <t>Copleted</t>
  </si>
  <si>
    <t>WIKIMEDIA COMMUNITY KILIMANJARO— SALARY TRACKER</t>
  </si>
  <si>
    <t>3 staff  |  Payment date: 25th of every month  |  Period: July 2025 – July 2026  (13 payments)</t>
  </si>
  <si>
    <t>TZS → USD  |  Update from xe.com before submission</t>
  </si>
  <si>
    <t>Role / Staff Member</t>
  </si>
  <si>
    <t>Pay Date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</si>
  <si>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</si>
  <si>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</si>
  <si>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</si>
  <si>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</si>
  <si>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</si>
  <si>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</si>
  <si>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</si>
  <si>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</si>
  <si>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</si>
  <si>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</si>
  <si>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Jun 2026</t>
  </si>
  <si>
    <t>Jul 2026</t>
  </si>
  <si>
    <t>Conv. Rate</t>
  </si>
  <si>
    <t>Program Coordinator</t>
  </si>
  <si>
    <t>25th of month</t>
  </si>
  <si>
    <t>Community Manager</t>
  </si>
  <si>
    <t>Social Media Manager</t>
  </si>
  <si>
    <t>Volunteer Stipend (Four)</t>
  </si>
  <si>
    <t>Monthly Total (TZS)</t>
  </si>
  <si>
    <t>GRAND TOTAL — ALL STAFF  (July 2025 – July 2026)</t>
  </si>
  <si>
    <t>Covers ongoing operational costs: social media, communication, internet, printing, bank charges, subscriptions, and other overheads.</t>
  </si>
  <si>
    <t>Item / Description</t>
  </si>
  <si>
    <t>Month</t>
  </si>
  <si>
    <t>Amount (TZS)</t>
  </si>
  <si>
    <t>—</t>
  </si>
  <si>
    <t>Amount (USD)</t>
  </si>
  <si>
    <t xml:space="preserve">  📱 Social Media &amp; Digital Marketing</t>
  </si>
  <si>
    <t>Facebook / Instagram Ads</t>
  </si>
  <si>
    <t>Paid promotion for events</t>
  </si>
  <si>
    <t>Monthly</t>
  </si>
  <si>
    <t>Canva Pro Subscription</t>
  </si>
  <si>
    <t>Design tool for social media posts</t>
  </si>
  <si>
    <t>Content creation fees</t>
  </si>
  <si>
    <t>Freelance designer / creator</t>
  </si>
  <si>
    <t>Per project</t>
  </si>
  <si>
    <t>Social media scheduling tool</t>
  </si>
  <si>
    <t>Buffer / Hootsuite etc.</t>
  </si>
  <si>
    <t>Subtotal — 📱 Social Media &amp; Digital Marketing</t>
  </si>
  <si>
    <t xml:space="preserve">  📞 Communication &amp; Internet</t>
  </si>
  <si>
    <t>Internet bundle — office</t>
  </si>
  <si>
    <t>Monthly broadband / data bundle</t>
  </si>
  <si>
    <t>Phone airtime / data</t>
  </si>
  <si>
    <t>Staff communication allowance</t>
  </si>
  <si>
    <t>WhatsApp Business API</t>
  </si>
  <si>
    <t>Community messaging tool</t>
  </si>
  <si>
    <t>Email service (if paid)</t>
  </si>
  <si>
    <t>Newsletter / mailing list tool</t>
  </si>
  <si>
    <t>Subtotal — 📞 Communication &amp; Internet</t>
  </si>
  <si>
    <t xml:space="preserve">  🖨️ Printing &amp; Stationery</t>
  </si>
  <si>
    <t>Flyers &amp; promotional material</t>
  </si>
  <si>
    <t>Event promotion printing</t>
  </si>
  <si>
    <t>Per event</t>
  </si>
  <si>
    <t>Certificates printing</t>
  </si>
  <si>
    <t>Participant certificates</t>
  </si>
  <si>
    <t>Office stationery</t>
  </si>
  <si>
    <t>Pens, notebooks, folders</t>
  </si>
  <si>
    <t>Banner / rollup printing</t>
  </si>
  <si>
    <t>Event display materials</t>
  </si>
  <si>
    <t>Subtotal — 🖨️ Printing &amp; Stationery</t>
  </si>
  <si>
    <t xml:space="preserve">  🏦 Bank &amp; Financial Charges</t>
  </si>
  <si>
    <t>Bank transfer charges</t>
  </si>
  <si>
    <t>Receiving / sending grant funds</t>
  </si>
  <si>
    <t>Per transaction</t>
  </si>
  <si>
    <t>Mobile money charges</t>
  </si>
  <si>
    <t>M-Pesa / Airtel Money fees</t>
  </si>
  <si>
    <t>Currency conversion fees</t>
  </si>
  <si>
    <t>FX conversion costs</t>
  </si>
  <si>
    <t>Subtotal — 🏦 Bank &amp; Financial Charges</t>
  </si>
  <si>
    <t xml:space="preserve">  📦 Other Operational Costs</t>
  </si>
  <si>
    <t>Zoom / video call subscriptions</t>
  </si>
  <si>
    <t>Online meetings tool</t>
  </si>
  <si>
    <t>Cloud storage (Google Drive etc.)</t>
  </si>
  <si>
    <t>File storage subscription</t>
  </si>
  <si>
    <t>Domain / hosting fees</t>
  </si>
  <si>
    <t>Website or tool hosting</t>
  </si>
  <si>
    <t>Annual</t>
  </si>
  <si>
    <t>Office supplies</t>
  </si>
  <si>
    <t>Miscellaneous office items</t>
  </si>
  <si>
    <t>Reporting &amp; documentation</t>
  </si>
  <si>
    <t>Report writing, translation costs</t>
  </si>
  <si>
    <t>Per report</t>
  </si>
  <si>
    <t>Subtotal — 📦 Other Operational Costs</t>
  </si>
  <si>
    <t>GRAND TOTAL — ADMINISTRATIVE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</si>
</sst>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0.0000000"/>
  </numFmts>
  <fonts count="5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4.0"/>
      <color rgb="FFCCDDF0"/>
      <name val="Arial"/>
    </font>
    <font>
      <sz val="14.0"/>
      <color theme="1"/>
      <name val="Calibri"/>
    </font>
    <font>
      <sz val="14.0"/>
      <color theme="1"/>
      <name val="Arial"/>
    </font>
    <font>
      <u/>
      <sz val="14.0"/>
      <color rgb="FF1155CC"/>
      <name val="Arial"/>
    </font>
    <font>
      <b/>
      <sz val="14.0"/>
      <color rgb="FF375623"/>
      <name val="Arial"/>
    </font>
    <font>
      <sz val="14.0"/>
      <color rgb="FF0000CD"/>
      <name val="Arial"/>
    </font>
    <font>
      <b/>
      <u/>
      <sz val="14.0"/>
      <color rgb="FFFFFFFF"/>
      <name val="Arial"/>
    </font>
    <font>
      <u/>
      <sz val="14.0"/>
      <color rgb="FF1155CC"/>
      <name val="Arial"/>
    </font>
    <font>
      <b/>
      <sz val="14.0"/>
      <color rgb="FFB7800A"/>
      <name val="Arial"/>
    </font>
    <font>
      <u/>
      <sz val="14.0"/>
      <color rgb="FF2E6DA4"/>
      <name val="Arial"/>
    </font>
    <font>
      <u/>
      <sz val="14.0"/>
      <color rgb="FF1155CC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sz val="14.0"/>
      <color rgb="FF1155CC"/>
      <name val="Arial"/>
    </font>
    <font>
      <b/>
      <u/>
      <sz val="14.0"/>
      <color theme="0"/>
      <name val="Arial"/>
    </font>
    <font>
      <b/>
      <sz val="14.0"/>
      <color theme="0"/>
      <name val="Calibri"/>
    </font>
    <font>
      <u/>
      <sz val="14.0"/>
      <color rgb="FF1458CD"/>
      <name val="Arial"/>
    </font>
    <font>
      <b/>
      <sz val="14.0"/>
      <color rgb="FF365623"/>
      <name val="Arial"/>
    </font>
    <font>
      <b/>
      <u/>
      <sz val="14.0"/>
      <color theme="0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i/>
      <sz val="14.0"/>
      <color rgb="FF595959"/>
      <name val="Arial"/>
    </font>
    <font>
      <b/>
      <u/>
      <sz val="14.0"/>
      <color rgb="FFFFFFFF"/>
      <name val="Arial"/>
    </font>
    <font>
      <b/>
      <sz val="14.0"/>
      <color rgb="FF14866D"/>
      <name val="Arial"/>
    </font>
    <font>
      <sz val="14.0"/>
      <color rgb="FF222222"/>
      <name val="Arial"/>
    </font>
    <font>
      <sz val="14.0"/>
      <color rgb="FF0000FF"/>
      <name val="Arial"/>
    </font>
    <font>
      <sz val="14.0"/>
      <color rgb="FF1A3A5C"/>
      <name val="Arial"/>
    </font>
    <font>
      <color theme="1"/>
      <name val="Calibri"/>
    </font>
    <font>
      <b/>
      <sz val="14.0"/>
      <color rgb="FF117A65"/>
      <name val="Arial"/>
    </font>
    <font>
      <sz val="14.0"/>
      <color rgb="FF000000"/>
      <name val="Arial"/>
    </font>
    <font>
      <b/>
      <sz val="14.0"/>
      <color rgb="FF2E6DA4"/>
      <name val="Arial"/>
    </font>
    <font>
      <b/>
      <sz val="14.0"/>
      <color rgb="FF4A235A"/>
      <name val="Arial"/>
    </font>
    <font>
      <b/>
      <sz val="14.0"/>
      <color rgb="FF784212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b/>
      <sz val="14.0"/>
      <color rgb="FF000000"/>
      <name val="Arial"/>
    </font>
    <font>
      <i/>
      <sz val="14.0"/>
      <color rgb="FF0000FF"/>
      <name val="Arial"/>
    </font>
    <font>
      <sz val="14.0"/>
      <color rgb="FF595959"/>
      <name val="Arial"/>
    </font>
    <font>
      <b/>
      <u/>
      <sz val="18.0"/>
      <color rgb="FFFFFFFF"/>
      <name val="Arial"/>
    </font>
    <font>
      <sz val="11.0"/>
      <color theme="10"/>
      <name val="Calibri"/>
    </font>
    <font>
      <sz val="14.0"/>
      <color rgb="FF000000"/>
      <name val="Calibri"/>
    </font>
    <font>
      <b/>
      <sz val="14.0"/>
      <color rgb="FF00B050"/>
      <name val="Arial"/>
    </font>
    <font>
      <b/>
      <u/>
      <sz val="14.0"/>
      <color rgb="FFFFFFFF"/>
      <name val="Arial"/>
    </font>
    <font>
      <b/>
      <u/>
      <sz val="14.0"/>
      <color rgb="FFFFFFFF"/>
      <name val="Arial"/>
    </font>
    <font>
      <i/>
      <sz val="14.0"/>
      <color rgb="FFE8D5F0"/>
      <name val="Arial"/>
    </font>
    <font>
      <b/>
      <u/>
      <sz val="14.0"/>
      <color rgb="FFFFFFFF"/>
      <name val="Arial"/>
    </font>
    <font>
      <b/>
      <sz val="14.0"/>
      <color rgb="FF1A3A5C"/>
      <name val="Arial"/>
    </font>
    <font>
      <sz val="14.0"/>
      <color rgb="FF784212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2E6DA4"/>
        <bgColor rgb="FF2E6DA4"/>
      </patternFill>
    </fill>
    <fill>
      <patternFill patternType="solid">
        <fgColor rgb="FFB7800A"/>
        <bgColor rgb="FFB7800A"/>
      </patternFill>
    </fill>
    <fill>
      <patternFill patternType="solid">
        <fgColor rgb="FF1E8449"/>
        <bgColor rgb="FF1E8449"/>
      </patternFill>
    </fill>
    <fill>
      <patternFill patternType="solid">
        <fgColor rgb="FF1F618D"/>
        <bgColor rgb="FF1F618D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17A65"/>
        <bgColor rgb="FF117A65"/>
      </patternFill>
    </fill>
    <fill>
      <patternFill patternType="solid">
        <fgColor rgb="FF784212"/>
        <bgColor rgb="FF784212"/>
      </patternFill>
    </fill>
    <fill>
      <patternFill patternType="solid">
        <fgColor rgb="FF6C3483"/>
        <bgColor rgb="FF6C3483"/>
      </patternFill>
    </fill>
    <fill>
      <patternFill patternType="solid">
        <fgColor rgb="FF1A5276"/>
        <bgColor rgb="FF1A5276"/>
      </patternFill>
    </fill>
    <fill>
      <patternFill patternType="solid">
        <fgColor rgb="FF548DD4"/>
        <bgColor rgb="FF548DD4"/>
      </patternFill>
    </fill>
    <fill>
      <patternFill patternType="solid">
        <fgColor rgb="FF538DD5"/>
        <bgColor rgb="FF538DD5"/>
      </patternFill>
    </fill>
    <fill>
      <patternFill patternType="solid">
        <fgColor rgb="FFE2EFDA"/>
        <bgColor rgb="FFE2EFDA"/>
      </patternFill>
    </fill>
    <fill>
      <patternFill patternType="solid">
        <fgColor rgb="FF4A235A"/>
        <bgColor rgb="FF4A235A"/>
      </patternFill>
    </fill>
    <fill>
      <patternFill patternType="solid">
        <fgColor rgb="FFD8E5F8"/>
        <bgColor rgb="FFD8E5F8"/>
      </patternFill>
    </fill>
    <fill>
      <patternFill patternType="solid">
        <fgColor rgb="FFCCDDF0"/>
        <bgColor rgb="FFCCDDF0"/>
      </patternFill>
    </fill>
    <fill>
      <patternFill patternType="solid">
        <fgColor rgb="FFF0E6FA"/>
        <bgColor rgb="FFF0E6FA"/>
      </patternFill>
    </fill>
    <fill>
      <patternFill patternType="solid">
        <fgColor rgb="FFFAE5D3"/>
        <bgColor rgb="FFFAE5D3"/>
      </patternFill>
    </fill>
    <fill>
      <patternFill patternType="solid">
        <fgColor rgb="FFD9E1F2"/>
        <bgColor rgb="FFD9E1F2"/>
      </patternFill>
    </fill>
    <fill>
      <patternFill patternType="solid">
        <fgColor rgb="FFC2D69B"/>
        <bgColor rgb="FFC2D69B"/>
      </patternFill>
    </fill>
    <fill>
      <patternFill patternType="solid">
        <fgColor rgb="FF7D3C98"/>
        <bgColor rgb="FF7D3C98"/>
      </patternFill>
    </fill>
    <fill>
      <patternFill patternType="solid">
        <fgColor rgb="FFE8D5F0"/>
        <bgColor rgb="FFE8D5F0"/>
      </patternFill>
    </fill>
    <fill>
      <patternFill patternType="solid">
        <fgColor rgb="FF2C3E50"/>
        <bgColor rgb="FF2C3E50"/>
      </patternFill>
    </fill>
  </fills>
  <borders count="44">
    <border/>
    <border>
      <left/>
      <top/>
      <bottom/>
    </border>
    <border>
      <top/>
      <bottom/>
    </border>
    <border>
      <left style="medium">
        <color rgb="FF1A3A5C"/>
      </left>
      <top style="medium">
        <color rgb="FF1A3A5C"/>
      </top>
      <bottom style="thin">
        <color rgb="FFDDDDDD"/>
      </bottom>
    </border>
    <border>
      <right style="medium">
        <color rgb="FF1A3A5C"/>
      </right>
      <top style="medium">
        <color rgb="FF1A3A5C"/>
      </top>
      <bottom style="thin">
        <color rgb="FFDDDDDD"/>
      </bottom>
    </border>
    <border>
      <left style="medium">
        <color rgb="FF2E6DA4"/>
      </left>
      <top style="medium">
        <color rgb="FF2E6DA4"/>
      </top>
      <bottom style="thin">
        <color rgb="FFDDDDDD"/>
      </bottom>
    </border>
    <border>
      <right style="medium">
        <color rgb="FF2E6DA4"/>
      </right>
      <top style="medium">
        <color rgb="FF2E6DA4"/>
      </top>
      <bottom style="thin">
        <color rgb="FFDDDDDD"/>
      </bottom>
    </border>
    <border>
      <left style="medium">
        <color rgb="FFB7800A"/>
      </left>
      <top style="medium">
        <color rgb="FFB7800A"/>
      </top>
      <bottom style="thin">
        <color rgb="FFDDDDDD"/>
      </bottom>
    </border>
    <border>
      <right style="medium">
        <color rgb="FFB7800A"/>
      </right>
      <top style="medium">
        <color rgb="FFB7800A"/>
      </top>
      <bottom style="thin">
        <color rgb="FFDDDDDD"/>
      </bottom>
    </border>
    <border>
      <left style="medium">
        <color rgb="FF1E8449"/>
      </left>
      <right style="medium">
        <color rgb="FF1E8449"/>
      </right>
      <top style="medium">
        <color rgb="FF1E8449"/>
      </top>
      <bottom style="medium">
        <color rgb="FF1E8449"/>
      </bottom>
    </border>
    <border>
      <left style="medium">
        <color rgb="FF1A3A5C"/>
      </left>
      <top style="thin">
        <color rgb="FFDDDDDD"/>
      </top>
      <bottom style="medium">
        <color rgb="FF1A3A5C"/>
      </bottom>
    </border>
    <border>
      <right style="medium">
        <color rgb="FF1A3A5C"/>
      </right>
      <top style="thin">
        <color rgb="FFDDDDDD"/>
      </top>
      <bottom style="medium">
        <color rgb="FF1A3A5C"/>
      </bottom>
    </border>
    <border>
      <left style="medium">
        <color rgb="FF2E6DA4"/>
      </left>
      <top style="thin">
        <color rgb="FFDDDDDD"/>
      </top>
      <bottom style="medium">
        <color rgb="FF2E6DA4"/>
      </bottom>
    </border>
    <border>
      <right style="medium">
        <color rgb="FF2E6DA4"/>
      </right>
      <top style="thin">
        <color rgb="FFDDDDDD"/>
      </top>
      <bottom style="medium">
        <color rgb="FF2E6DA4"/>
      </bottom>
    </border>
    <border>
      <left style="medium">
        <color rgb="FFB7800A"/>
      </left>
      <top style="thin">
        <color rgb="FFDDDDDD"/>
      </top>
      <bottom style="medium">
        <color rgb="FFB7800A"/>
      </bottom>
    </border>
    <border>
      <right style="medium">
        <color rgb="FFB7800A"/>
      </right>
      <top style="thin">
        <color rgb="FFDDDDDD"/>
      </top>
      <bottom style="medium">
        <color rgb="FFB7800A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</border>
    <border>
      <top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top/>
      <bottom style="thin">
        <color rgb="FFBFBFBF"/>
      </bottom>
    </border>
    <border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/>
      <right style="thin">
        <color rgb="FFBFBFBF"/>
      </right>
      <top/>
      <bottom style="thin">
        <color rgb="FFBFBFBF"/>
      </bottom>
    </border>
    <border>
      <right/>
      <top/>
      <bottom/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medium">
        <color rgb="FF4A235A"/>
      </left>
      <top style="medium">
        <color rgb="FF4A235A"/>
      </top>
      <bottom style="medium">
        <color rgb="FF4A235A"/>
      </bottom>
    </border>
    <border>
      <top style="medium">
        <color rgb="FF4A235A"/>
      </top>
      <bottom style="medium">
        <color rgb="FF4A235A"/>
      </bottom>
    </border>
    <border>
      <right style="medium">
        <color rgb="FF4A235A"/>
      </right>
      <top style="medium">
        <color rgb="FF4A235A"/>
      </top>
      <bottom style="medium">
        <color rgb="FF4A235A"/>
      </bottom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2" fontId="3" numFmtId="0" xfId="0" applyAlignment="1" applyBorder="1" applyFont="1">
      <alignment horizontal="center" vertical="center"/>
    </xf>
    <xf borderId="0" fillId="0" fontId="4" numFmtId="0" xfId="0" applyFont="1"/>
    <xf borderId="3" fillId="2" fontId="1" numFmtId="0" xfId="0" applyAlignment="1" applyBorder="1" applyFont="1">
      <alignment horizontal="center" vertical="center"/>
    </xf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5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shrinkToFit="0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3" fontId="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4" fontId="1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9" fillId="5" fontId="1" numFmtId="4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6" fillId="2" fontId="4" numFmtId="0" xfId="0" applyAlignment="1" applyBorder="1" applyFont="1">
      <alignment shrinkToFit="0" wrapText="1"/>
    </xf>
    <xf borderId="16" fillId="2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7" fillId="6" fontId="4" numFmtId="0" xfId="0" applyAlignment="1" applyBorder="1" applyFont="1">
      <alignment shrinkToFit="0" wrapText="1"/>
    </xf>
    <xf borderId="17" fillId="7" fontId="5" numFmtId="0" xfId="0" applyAlignment="1" applyBorder="1" applyFill="1" applyFont="1">
      <alignment horizontal="center" shrinkToFit="0" vertical="center" wrapText="1"/>
    </xf>
    <xf borderId="17" fillId="7" fontId="6" numFmtId="0" xfId="0" applyAlignment="1" applyBorder="1" applyFont="1">
      <alignment horizontal="left" shrinkToFit="0" vertical="center" wrapText="1"/>
    </xf>
    <xf borderId="17" fillId="7" fontId="7" numFmtId="0" xfId="0" applyAlignment="1" applyBorder="1" applyFont="1">
      <alignment horizontal="center" shrinkToFit="0" vertical="center" wrapText="1"/>
    </xf>
    <xf borderId="17" fillId="7" fontId="8" numFmtId="4" xfId="0" applyAlignment="1" applyBorder="1" applyFont="1" applyNumberFormat="1">
      <alignment horizontal="center" shrinkToFit="0" vertical="center" wrapText="1"/>
    </xf>
    <xf borderId="17" fillId="6" fontId="9" numFmtId="0" xfId="0" applyAlignment="1" applyBorder="1" applyFont="1">
      <alignment horizontal="center" shrinkToFit="0" vertical="center" wrapText="1"/>
    </xf>
    <xf borderId="17" fillId="8" fontId="5" numFmtId="0" xfId="0" applyAlignment="1" applyBorder="1" applyFill="1" applyFont="1">
      <alignment horizontal="center" shrinkToFit="0" vertical="center" wrapText="1"/>
    </xf>
    <xf borderId="17" fillId="8" fontId="10" numFmtId="0" xfId="0" applyAlignment="1" applyBorder="1" applyFont="1">
      <alignment horizontal="left" shrinkToFit="0" vertical="center" wrapText="1"/>
    </xf>
    <xf borderId="17" fillId="8" fontId="11" numFmtId="0" xfId="0" applyAlignment="1" applyBorder="1" applyFont="1">
      <alignment horizontal="center" shrinkToFit="0" vertical="center" wrapText="1"/>
    </xf>
    <xf borderId="17" fillId="8" fontId="8" numFmtId="4" xfId="0" applyAlignment="1" applyBorder="1" applyFont="1" applyNumberFormat="1">
      <alignment horizontal="center" shrinkToFit="0" vertical="center" wrapText="1"/>
    </xf>
    <xf borderId="17" fillId="8" fontId="7" numFmtId="4" xfId="0" applyAlignment="1" applyBorder="1" applyFont="1" applyNumberFormat="1">
      <alignment horizontal="center" shrinkToFit="0" vertical="center" wrapText="1"/>
    </xf>
    <xf borderId="17" fillId="7" fontId="12" numFmtId="0" xfId="0" applyAlignment="1" applyBorder="1" applyFont="1">
      <alignment horizontal="left" shrinkToFit="0" vertical="center" wrapText="1"/>
    </xf>
    <xf borderId="17" fillId="7" fontId="5" numFmtId="164" xfId="0" applyAlignment="1" applyBorder="1" applyFont="1" applyNumberFormat="1">
      <alignment horizontal="center" shrinkToFit="0" vertical="center" wrapText="1"/>
    </xf>
    <xf borderId="17" fillId="7" fontId="7" numFmtId="4" xfId="0" applyAlignment="1" applyBorder="1" applyFont="1" applyNumberFormat="1">
      <alignment horizontal="center" shrinkToFit="0" vertical="center" wrapText="1"/>
    </xf>
    <xf borderId="17" fillId="6" fontId="1" numFmtId="0" xfId="0" applyAlignment="1" applyBorder="1" applyFont="1">
      <alignment horizontal="center" shrinkToFit="0" vertical="center" wrapText="1"/>
    </xf>
    <xf borderId="17" fillId="9" fontId="5" numFmtId="0" xfId="0" applyAlignment="1" applyBorder="1" applyFill="1" applyFont="1">
      <alignment horizontal="center" shrinkToFit="0" vertical="center" wrapText="1"/>
    </xf>
    <xf borderId="17" fillId="9" fontId="13" numFmtId="0" xfId="0" applyAlignment="1" applyBorder="1" applyFont="1">
      <alignment horizontal="left" shrinkToFit="0" vertical="center" wrapText="1"/>
    </xf>
    <xf borderId="17" fillId="9" fontId="7" numFmtId="0" xfId="0" applyAlignment="1" applyBorder="1" applyFont="1">
      <alignment horizontal="center" shrinkToFit="0" vertical="center" wrapText="1"/>
    </xf>
    <xf borderId="17" fillId="9" fontId="8" numFmtId="4" xfId="0" applyAlignment="1" applyBorder="1" applyFont="1" applyNumberFormat="1">
      <alignment horizontal="center" shrinkToFit="0" vertical="center" wrapText="1"/>
    </xf>
    <xf borderId="17" fillId="9" fontId="7" numFmtId="4" xfId="0" applyAlignment="1" applyBorder="1" applyFont="1" applyNumberFormat="1">
      <alignment horizontal="center" shrinkToFit="0" vertical="center" wrapText="1"/>
    </xf>
    <xf borderId="18" fillId="10" fontId="1" numFmtId="0" xfId="0" applyAlignment="1" applyBorder="1" applyFill="1" applyFont="1">
      <alignment horizontal="left" shrinkToFit="0" vertical="center" wrapText="1"/>
    </xf>
    <xf borderId="19" fillId="0" fontId="2" numFmtId="0" xfId="0" applyBorder="1" applyFont="1"/>
    <xf borderId="20" fillId="0" fontId="2" numFmtId="0" xfId="0" applyBorder="1" applyFont="1"/>
    <xf borderId="17" fillId="10" fontId="4" numFmtId="0" xfId="0" applyAlignment="1" applyBorder="1" applyFont="1">
      <alignment shrinkToFit="0" wrapText="1"/>
    </xf>
    <xf borderId="17" fillId="10" fontId="14" numFmtId="0" xfId="0" applyAlignment="1" applyBorder="1" applyFont="1">
      <alignment horizontal="center" shrinkToFit="0" vertical="center" wrapText="1"/>
    </xf>
    <xf borderId="18" fillId="11" fontId="1" numFmtId="0" xfId="0" applyAlignment="1" applyBorder="1" applyFill="1" applyFont="1">
      <alignment horizontal="left" shrinkToFit="0" vertical="center" wrapText="1"/>
    </xf>
    <xf borderId="17" fillId="11" fontId="4" numFmtId="0" xfId="0" applyAlignment="1" applyBorder="1" applyFont="1">
      <alignment shrinkToFit="0" wrapText="1"/>
    </xf>
    <xf borderId="17" fillId="11" fontId="15" numFmtId="0" xfId="0" applyAlignment="1" applyBorder="1" applyFont="1">
      <alignment horizontal="center" shrinkToFit="0" vertical="center" wrapText="1"/>
    </xf>
    <xf borderId="18" fillId="5" fontId="1" numFmtId="0" xfId="0" applyAlignment="1" applyBorder="1" applyFont="1">
      <alignment horizontal="left" shrinkToFit="0" vertical="center" wrapText="1"/>
    </xf>
    <xf borderId="17" fillId="5" fontId="4" numFmtId="0" xfId="0" applyAlignment="1" applyBorder="1" applyFont="1">
      <alignment shrinkToFit="0" wrapText="1"/>
    </xf>
    <xf borderId="17" fillId="5" fontId="16" numFmtId="0" xfId="0" applyAlignment="1" applyBorder="1" applyFont="1">
      <alignment horizontal="center" shrinkToFit="0" vertical="center" wrapText="1"/>
    </xf>
    <xf borderId="18" fillId="12" fontId="1" numFmtId="0" xfId="0" applyAlignment="1" applyBorder="1" applyFill="1" applyFont="1">
      <alignment horizontal="left" shrinkToFit="0" vertical="center" wrapText="1"/>
    </xf>
    <xf borderId="17" fillId="12" fontId="4" numFmtId="0" xfId="0" applyAlignment="1" applyBorder="1" applyFont="1">
      <alignment shrinkToFit="0" wrapText="1"/>
    </xf>
    <xf borderId="17" fillId="12" fontId="17" numFmtId="0" xfId="0" applyAlignment="1" applyBorder="1" applyFont="1">
      <alignment horizontal="center" shrinkToFit="0" vertical="center" wrapText="1"/>
    </xf>
    <xf borderId="18" fillId="13" fontId="1" numFmtId="0" xfId="0" applyAlignment="1" applyBorder="1" applyFill="1" applyFont="1">
      <alignment horizontal="left" shrinkToFit="0" vertical="center" wrapText="1"/>
    </xf>
    <xf borderId="17" fillId="13" fontId="4" numFmtId="0" xfId="0" applyAlignment="1" applyBorder="1" applyFont="1">
      <alignment shrinkToFit="0" wrapText="1"/>
    </xf>
    <xf borderId="17" fillId="13" fontId="18" numFmtId="0" xfId="0" applyAlignment="1" applyBorder="1" applyFont="1">
      <alignment horizontal="center" shrinkToFit="0" vertical="center" wrapText="1"/>
    </xf>
    <xf borderId="17" fillId="8" fontId="19" numFmtId="0" xfId="0" applyAlignment="1" applyBorder="1" applyFont="1">
      <alignment horizontal="left" shrinkToFit="0" vertical="center" wrapText="1"/>
    </xf>
    <xf borderId="21" fillId="8" fontId="8" numFmtId="4" xfId="0" applyAlignment="1" applyBorder="1" applyFont="1" applyNumberFormat="1">
      <alignment horizontal="center" shrinkToFit="0" vertical="center" wrapText="1"/>
    </xf>
    <xf borderId="17" fillId="13" fontId="20" numFmtId="0" xfId="0" applyAlignment="1" applyBorder="1" applyFont="1">
      <alignment horizontal="center" shrinkToFit="0" vertical="center" wrapText="1"/>
    </xf>
    <xf borderId="21" fillId="13" fontId="4" numFmtId="0" xfId="0" applyAlignment="1" applyBorder="1" applyFont="1">
      <alignment shrinkToFit="0" wrapText="1"/>
    </xf>
    <xf borderId="18" fillId="14" fontId="21" numFmtId="0" xfId="0" applyAlignment="1" applyBorder="1" applyFill="1" applyFont="1">
      <alignment horizontal="left" shrinkToFit="0" wrapText="1"/>
    </xf>
    <xf borderId="22" fillId="8" fontId="5" numFmtId="0" xfId="0" applyAlignment="1" applyBorder="1" applyFont="1">
      <alignment horizontal="center" shrinkToFit="0" vertical="center" wrapText="1"/>
    </xf>
    <xf borderId="17" fillId="8" fontId="22" numFmtId="0" xfId="0" applyAlignment="1" applyBorder="1" applyFont="1">
      <alignment horizontal="left" shrinkToFit="0" vertical="center" wrapText="1"/>
    </xf>
    <xf borderId="17" fillId="8" fontId="23" numFmtId="0" xfId="0" applyAlignment="1" applyBorder="1" applyFont="1">
      <alignment horizontal="center" shrinkToFit="0" vertical="center" wrapText="1"/>
    </xf>
    <xf borderId="22" fillId="8" fontId="8" numFmtId="4" xfId="0" applyAlignment="1" applyBorder="1" applyFont="1" applyNumberFormat="1">
      <alignment horizontal="center" shrinkToFit="0" vertical="center" wrapText="1"/>
    </xf>
    <xf borderId="23" fillId="15" fontId="24" numFmtId="0" xfId="0" applyAlignment="1" applyBorder="1" applyFill="1" applyFont="1">
      <alignment horizontal="center" shrinkToFit="0" vertical="center" wrapText="1"/>
    </xf>
    <xf borderId="17" fillId="0" fontId="4" numFmtId="0" xfId="0" applyAlignment="1" applyBorder="1" applyFont="1">
      <alignment shrinkToFit="0" wrapText="1"/>
    </xf>
    <xf borderId="18" fillId="2" fontId="1" numFmtId="0" xfId="0" applyAlignment="1" applyBorder="1" applyFont="1">
      <alignment horizontal="center" shrinkToFit="0" vertical="center" wrapText="1"/>
    </xf>
    <xf borderId="17" fillId="16" fontId="7" numFmtId="4" xfId="0" applyAlignment="1" applyBorder="1" applyFill="1" applyFont="1" applyNumberFormat="1">
      <alignment horizontal="center" shrinkToFit="0" vertical="center" wrapText="1"/>
    </xf>
    <xf borderId="17" fillId="16" fontId="4" numFmtId="0" xfId="0" applyAlignment="1" applyBorder="1" applyFont="1">
      <alignment shrinkToFit="0" wrapText="1"/>
    </xf>
    <xf borderId="18" fillId="2" fontId="1" numFmtId="0" xfId="0" applyAlignment="1" applyBorder="1" applyFont="1">
      <alignment horizontal="left" shrinkToFit="0" vertical="center" wrapText="1"/>
    </xf>
    <xf borderId="18" fillId="3" fontId="5" numFmtId="0" xfId="0" applyAlignment="1" applyBorder="1" applyFont="1">
      <alignment horizontal="center" shrinkToFit="0" vertical="center" wrapText="1"/>
    </xf>
    <xf borderId="18" fillId="9" fontId="5" numFmtId="0" xfId="0" applyAlignment="1" applyBorder="1" applyFont="1">
      <alignment horizontal="left" shrinkToFit="0" vertical="center" wrapText="1"/>
    </xf>
    <xf borderId="17" fillId="3" fontId="25" numFmtId="0" xfId="0" applyAlignment="1" applyBorder="1" applyFont="1">
      <alignment horizontal="center" shrinkToFit="0" vertical="center" wrapText="1"/>
    </xf>
    <xf borderId="17" fillId="9" fontId="4" numFmtId="0" xfId="0" applyAlignment="1" applyBorder="1" applyFont="1">
      <alignment shrinkToFit="0" wrapText="1"/>
    </xf>
    <xf borderId="18" fillId="17" fontId="5" numFmtId="0" xfId="0" applyAlignment="1" applyBorder="1" applyFill="1" applyFont="1">
      <alignment horizontal="center" shrinkToFit="0" vertical="center" wrapText="1"/>
    </xf>
    <xf borderId="17" fillId="17" fontId="26" numFmtId="0" xfId="0" applyAlignment="1" applyBorder="1" applyFont="1">
      <alignment horizontal="center" shrinkToFit="0" vertical="center" wrapText="1"/>
    </xf>
    <xf borderId="18" fillId="11" fontId="5" numFmtId="0" xfId="0" applyAlignment="1" applyBorder="1" applyFont="1">
      <alignment horizontal="center" shrinkToFit="0" vertical="center" wrapText="1"/>
    </xf>
    <xf borderId="18" fillId="0" fontId="27" numFmtId="0" xfId="0" applyAlignment="1" applyBorder="1" applyFont="1">
      <alignment horizontal="center" shrinkToFit="0" vertical="center" wrapText="1"/>
    </xf>
    <xf borderId="18" fillId="3" fontId="28" numFmtId="0" xfId="0" applyAlignment="1" applyBorder="1" applyFont="1">
      <alignment horizontal="center" vertical="center"/>
    </xf>
    <xf borderId="17" fillId="0" fontId="4" numFmtId="0" xfId="0" applyBorder="1" applyFont="1"/>
    <xf borderId="18" fillId="2" fontId="1" numFmtId="0" xfId="0" applyAlignment="1" applyBorder="1" applyFont="1">
      <alignment horizontal="center" vertical="center"/>
    </xf>
    <xf borderId="17" fillId="0" fontId="27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7" fillId="9" fontId="5" numFmtId="0" xfId="0" applyAlignment="1" applyBorder="1" applyFont="1">
      <alignment horizontal="center" vertical="center"/>
    </xf>
    <xf borderId="17" fillId="9" fontId="5" numFmtId="0" xfId="0" applyAlignment="1" applyBorder="1" applyFont="1">
      <alignment horizontal="left" vertical="center"/>
    </xf>
    <xf borderId="17" fillId="9" fontId="5" numFmtId="164" xfId="0" applyAlignment="1" applyBorder="1" applyFont="1" applyNumberFormat="1">
      <alignment horizontal="center" vertical="center"/>
    </xf>
    <xf borderId="17" fillId="9" fontId="29" numFmtId="0" xfId="0" applyAlignment="1" applyBorder="1" applyFont="1">
      <alignment horizontal="center" vertical="center"/>
    </xf>
    <xf borderId="0" fillId="18" fontId="30" numFmtId="0" xfId="0" applyFill="1" applyFont="1"/>
    <xf borderId="17" fillId="9" fontId="31" numFmtId="4" xfId="0" applyAlignment="1" applyBorder="1" applyFont="1" applyNumberFormat="1">
      <alignment horizontal="center" vertical="center"/>
    </xf>
    <xf borderId="17" fillId="19" fontId="32" numFmtId="4" xfId="0" applyAlignment="1" applyBorder="1" applyFill="1" applyFont="1" applyNumberFormat="1">
      <alignment horizontal="center" vertical="center"/>
    </xf>
    <xf borderId="17" fillId="7" fontId="5" numFmtId="0" xfId="0" applyAlignment="1" applyBorder="1" applyFont="1">
      <alignment horizontal="center" vertical="center"/>
    </xf>
    <xf borderId="17" fillId="7" fontId="5" numFmtId="0" xfId="0" applyAlignment="1" applyBorder="1" applyFont="1">
      <alignment horizontal="left" vertical="center"/>
    </xf>
    <xf borderId="17" fillId="7" fontId="29" numFmtId="0" xfId="0" applyAlignment="1" applyBorder="1" applyFont="1">
      <alignment horizontal="center" vertical="center"/>
    </xf>
    <xf borderId="0" fillId="0" fontId="33" numFmtId="0" xfId="0" applyFont="1"/>
    <xf borderId="17" fillId="8" fontId="5" numFmtId="0" xfId="0" applyAlignment="1" applyBorder="1" applyFont="1">
      <alignment horizontal="center" vertical="center"/>
    </xf>
    <xf borderId="17" fillId="8" fontId="5" numFmtId="0" xfId="0" applyAlignment="1" applyBorder="1" applyFont="1">
      <alignment horizontal="left" vertical="center"/>
    </xf>
    <xf borderId="17" fillId="8" fontId="11" numFmtId="0" xfId="0" applyAlignment="1" applyBorder="1" applyFont="1">
      <alignment horizontal="center" vertical="center"/>
    </xf>
    <xf borderId="17" fillId="8" fontId="34" numFmtId="0" xfId="0" applyAlignment="1" applyBorder="1" applyFont="1">
      <alignment horizontal="center" vertical="center"/>
    </xf>
    <xf borderId="17" fillId="8" fontId="29" numFmtId="0" xfId="0" applyAlignment="1" applyBorder="1" applyFont="1">
      <alignment horizontal="center" vertical="center"/>
    </xf>
    <xf borderId="17" fillId="16" fontId="7" numFmtId="4" xfId="0" applyAlignment="1" applyBorder="1" applyFont="1" applyNumberFormat="1">
      <alignment vertical="center"/>
    </xf>
    <xf borderId="0" fillId="0" fontId="27" numFmtId="0" xfId="0" applyAlignment="1" applyFont="1">
      <alignment horizontal="left" vertical="center"/>
    </xf>
    <xf borderId="18" fillId="3" fontId="1" numFmtId="0" xfId="0" applyAlignment="1" applyBorder="1" applyFont="1">
      <alignment horizontal="left" vertical="center"/>
    </xf>
    <xf borderId="18" fillId="2" fontId="1" numFmtId="0" xfId="0" applyAlignment="1" applyBorder="1" applyFont="1">
      <alignment horizontal="left" vertical="center"/>
    </xf>
    <xf borderId="18" fillId="7" fontId="35" numFmtId="0" xfId="0" applyAlignment="1" applyBorder="1" applyFont="1">
      <alignment horizontal="left" vertical="center"/>
    </xf>
    <xf borderId="17" fillId="9" fontId="35" numFmtId="4" xfId="0" applyAlignment="1" applyBorder="1" applyFont="1" applyNumberFormat="1">
      <alignment horizontal="center" vertical="center"/>
    </xf>
    <xf borderId="17" fillId="19" fontId="36" numFmtId="4" xfId="0" applyAlignment="1" applyBorder="1" applyFont="1" applyNumberFormat="1">
      <alignment horizontal="center" vertical="center"/>
    </xf>
    <xf borderId="18" fillId="9" fontId="35" numFmtId="0" xfId="0" applyAlignment="1" applyBorder="1" applyFont="1">
      <alignment horizontal="left" vertical="center"/>
    </xf>
    <xf borderId="18" fillId="20" fontId="37" numFmtId="0" xfId="0" applyAlignment="1" applyBorder="1" applyFill="1" applyFont="1">
      <alignment horizontal="left" vertical="center"/>
    </xf>
    <xf borderId="18" fillId="21" fontId="38" numFmtId="0" xfId="0" applyAlignment="1" applyBorder="1" applyFill="1" applyFont="1">
      <alignment horizontal="left" vertical="center"/>
    </xf>
    <xf borderId="17" fillId="21" fontId="38" numFmtId="4" xfId="0" applyAlignment="1" applyBorder="1" applyFont="1" applyNumberFormat="1">
      <alignment horizontal="center" vertical="center"/>
    </xf>
    <xf borderId="24" fillId="3" fontId="39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16" fillId="2" fontId="1" numFmtId="0" xfId="0" applyAlignment="1" applyBorder="1" applyFont="1">
      <alignment horizontal="center" vertical="center"/>
    </xf>
    <xf borderId="24" fillId="2" fontId="40" numFmtId="0" xfId="0" applyAlignment="1" applyBorder="1" applyFont="1">
      <alignment horizontal="center" vertical="center"/>
    </xf>
    <xf borderId="24" fillId="22" fontId="41" numFmtId="0" xfId="0" applyAlignment="1" applyBorder="1" applyFill="1" applyFont="1">
      <alignment horizontal="left" vertical="center"/>
    </xf>
    <xf borderId="16" fillId="9" fontId="31" numFmtId="0" xfId="0" applyAlignment="1" applyBorder="1" applyFont="1">
      <alignment horizontal="left" vertical="center"/>
    </xf>
    <xf borderId="24" fillId="9" fontId="31" numFmtId="0" xfId="0" applyAlignment="1" applyBorder="1" applyFont="1">
      <alignment horizontal="left" vertical="center"/>
    </xf>
    <xf borderId="0" fillId="9" fontId="31" numFmtId="0" xfId="0" applyAlignment="1" applyFont="1">
      <alignment horizontal="left" vertical="center"/>
    </xf>
    <xf borderId="24" fillId="22" fontId="41" numFmtId="0" xfId="0" applyAlignment="1" applyBorder="1" applyFont="1">
      <alignment horizontal="center" vertical="center"/>
    </xf>
    <xf borderId="16" fillId="16" fontId="29" numFmtId="0" xfId="0" applyAlignment="1" applyBorder="1" applyFont="1">
      <alignment horizontal="center" vertical="center"/>
    </xf>
    <xf borderId="16" fillId="22" fontId="41" numFmtId="0" xfId="0" applyAlignment="1" applyBorder="1" applyFont="1">
      <alignment horizontal="center" vertical="center"/>
    </xf>
    <xf borderId="27" fillId="3" fontId="1" numFmtId="0" xfId="0" applyAlignment="1" applyBorder="1" applyFont="1">
      <alignment horizontal="left" vertical="center"/>
    </xf>
    <xf borderId="28" fillId="0" fontId="2" numFmtId="0" xfId="0" applyBorder="1" applyFont="1"/>
    <xf borderId="25" fillId="22" fontId="41" numFmtId="0" xfId="0" applyAlignment="1" applyBorder="1" applyFont="1">
      <alignment horizontal="left" vertical="center"/>
    </xf>
    <xf borderId="26" fillId="22" fontId="4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24" fillId="7" fontId="27" numFmtId="0" xfId="0" applyAlignment="1" applyBorder="1" applyFont="1">
      <alignment horizontal="left" vertical="center"/>
    </xf>
    <xf borderId="16" fillId="9" fontId="42" numFmtId="0" xfId="0" applyAlignment="1" applyBorder="1" applyFont="1">
      <alignment horizontal="left" vertical="center"/>
    </xf>
    <xf borderId="24" fillId="9" fontId="42" numFmtId="0" xfId="0" applyAlignment="1" applyBorder="1" applyFont="1">
      <alignment horizontal="left" vertical="center"/>
    </xf>
    <xf borderId="24" fillId="2" fontId="1" numFmtId="0" xfId="0" applyAlignment="1" applyBorder="1" applyFont="1">
      <alignment horizontal="center" shrinkToFit="0" vertical="center" wrapText="1"/>
    </xf>
    <xf borderId="24" fillId="7" fontId="41" numFmtId="0" xfId="0" applyAlignment="1" applyBorder="1" applyFont="1">
      <alignment horizontal="left" vertical="center"/>
    </xf>
    <xf borderId="16" fillId="9" fontId="31" numFmtId="4" xfId="0" applyAlignment="1" applyBorder="1" applyFont="1" applyNumberFormat="1">
      <alignment horizontal="center" vertical="center"/>
    </xf>
    <xf borderId="16" fillId="7" fontId="35" numFmtId="0" xfId="0" applyAlignment="1" applyBorder="1" applyFont="1">
      <alignment horizontal="left" vertical="center"/>
    </xf>
    <xf borderId="16" fillId="7" fontId="35" numFmtId="0" xfId="0" applyAlignment="1" applyBorder="1" applyFont="1">
      <alignment horizontal="center" vertical="center"/>
    </xf>
    <xf borderId="16" fillId="7" fontId="43" numFmtId="0" xfId="0" applyAlignment="1" applyBorder="1" applyFont="1">
      <alignment horizontal="left" vertical="center"/>
    </xf>
    <xf borderId="16" fillId="7" fontId="43" numFmtId="165" xfId="0" applyAlignment="1" applyBorder="1" applyFont="1" applyNumberFormat="1">
      <alignment horizontal="center" vertical="center"/>
    </xf>
    <xf borderId="16" fillId="7" fontId="35" numFmtId="4" xfId="0" applyAlignment="1" applyBorder="1" applyFont="1" applyNumberFormat="1">
      <alignment horizontal="center" vertical="center"/>
    </xf>
    <xf borderId="24" fillId="9" fontId="41" numFmtId="0" xfId="0" applyAlignment="1" applyBorder="1" applyFont="1">
      <alignment horizontal="left" vertical="center"/>
    </xf>
    <xf borderId="16" fillId="9" fontId="35" numFmtId="0" xfId="0" applyAlignment="1" applyBorder="1" applyFont="1">
      <alignment horizontal="left" vertical="center"/>
    </xf>
    <xf borderId="16" fillId="9" fontId="35" numFmtId="0" xfId="0" applyAlignment="1" applyBorder="1" applyFont="1">
      <alignment horizontal="center" vertical="center"/>
    </xf>
    <xf borderId="16" fillId="9" fontId="43" numFmtId="0" xfId="0" applyAlignment="1" applyBorder="1" applyFont="1">
      <alignment horizontal="left" vertical="center"/>
    </xf>
    <xf borderId="16" fillId="9" fontId="43" numFmtId="165" xfId="0" applyAlignment="1" applyBorder="1" applyFont="1" applyNumberFormat="1">
      <alignment horizontal="center" vertical="center"/>
    </xf>
    <xf borderId="16" fillId="9" fontId="35" numFmtId="4" xfId="0" applyAlignment="1" applyBorder="1" applyFont="1" applyNumberFormat="1">
      <alignment horizontal="center" vertical="center"/>
    </xf>
    <xf borderId="16" fillId="9" fontId="31" numFmtId="0" xfId="0" applyAlignment="1" applyBorder="1" applyFont="1">
      <alignment horizontal="left" shrinkToFit="0" vertical="center" wrapText="1"/>
    </xf>
    <xf borderId="25" fillId="9" fontId="41" numFmtId="0" xfId="0" applyAlignment="1" applyBorder="1" applyFont="1">
      <alignment horizontal="left" vertical="center"/>
    </xf>
    <xf borderId="26" fillId="9" fontId="31" numFmtId="4" xfId="0" applyAlignment="1" applyBorder="1" applyFont="1" applyNumberFormat="1">
      <alignment horizontal="center" vertical="center"/>
    </xf>
    <xf borderId="25" fillId="7" fontId="41" numFmtId="0" xfId="0" applyAlignment="1" applyBorder="1" applyFont="1">
      <alignment horizontal="left" vertical="center"/>
    </xf>
    <xf borderId="25" fillId="7" fontId="41" numFmtId="0" xfId="0" applyAlignment="1" applyBorder="1" applyFont="1">
      <alignment horizontal="center" vertical="center"/>
    </xf>
    <xf borderId="26" fillId="7" fontId="41" numFmtId="0" xfId="0" applyAlignment="1" applyBorder="1" applyFont="1">
      <alignment horizontal="left" vertical="center"/>
    </xf>
    <xf borderId="24" fillId="16" fontId="7" numFmtId="0" xfId="0" applyAlignment="1" applyBorder="1" applyFont="1">
      <alignment horizontal="left" vertical="center"/>
    </xf>
    <xf borderId="16" fillId="16" fontId="7" numFmtId="4" xfId="0" applyAlignment="1" applyBorder="1" applyFont="1" applyNumberFormat="1">
      <alignment horizontal="center" vertical="center"/>
    </xf>
    <xf borderId="16" fillId="16" fontId="7" numFmtId="0" xfId="0" applyAlignment="1" applyBorder="1" applyFont="1">
      <alignment horizontal="center" vertical="center"/>
    </xf>
    <xf borderId="16" fillId="16" fontId="4" numFmtId="0" xfId="0" applyBorder="1" applyFont="1"/>
    <xf borderId="24" fillId="9" fontId="35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24" fillId="7" fontId="35" numFmtId="0" xfId="0" applyAlignment="1" applyBorder="1" applyFont="1">
      <alignment horizontal="left" vertical="center"/>
    </xf>
    <xf borderId="26" fillId="9" fontId="41" numFmtId="0" xfId="0" applyAlignment="1" applyBorder="1" applyFont="1">
      <alignment horizontal="left" vertical="center"/>
    </xf>
    <xf borderId="25" fillId="7" fontId="35" numFmtId="0" xfId="0" applyAlignment="1" applyBorder="1" applyFont="1">
      <alignment horizontal="left" vertical="center"/>
    </xf>
    <xf borderId="25" fillId="7" fontId="35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9" fillId="9" fontId="31" numFmtId="4" xfId="0" applyAlignment="1" applyBorder="1" applyFont="1" applyNumberFormat="1">
      <alignment horizontal="center" vertical="center"/>
    </xf>
    <xf borderId="30" fillId="2" fontId="1" numFmtId="0" xfId="0" applyAlignment="1" applyBorder="1" applyFont="1">
      <alignment horizontal="center" vertical="center"/>
    </xf>
    <xf borderId="31" fillId="0" fontId="2" numFmtId="0" xfId="0" applyBorder="1" applyFont="1"/>
    <xf borderId="24" fillId="3" fontId="44" numFmtId="0" xfId="0" applyAlignment="1" applyBorder="1" applyFont="1">
      <alignment horizontal="center" vertical="center"/>
    </xf>
    <xf borderId="24" fillId="0" fontId="45" numFmtId="0" xfId="0" applyBorder="1" applyFont="1"/>
    <xf borderId="24" fillId="0" fontId="46" numFmtId="0" xfId="0" applyBorder="1" applyFont="1"/>
    <xf borderId="0" fillId="0" fontId="46" numFmtId="0" xfId="0" applyFont="1"/>
    <xf borderId="32" fillId="23" fontId="47" numFmtId="0" xfId="0" applyAlignment="1" applyBorder="1" applyFill="1" applyFont="1">
      <alignment horizontal="center" vertical="center"/>
    </xf>
    <xf borderId="33" fillId="0" fontId="46" numFmtId="0" xfId="0" applyBorder="1" applyFont="1"/>
    <xf borderId="33" fillId="0" fontId="2" numFmtId="0" xfId="0" applyBorder="1" applyFont="1"/>
    <xf borderId="30" fillId="3" fontId="1" numFmtId="0" xfId="0" applyAlignment="1" applyBorder="1" applyFont="1">
      <alignment horizontal="left" vertical="center"/>
    </xf>
    <xf borderId="34" fillId="2" fontId="1" numFmtId="0" xfId="0" applyAlignment="1" applyBorder="1" applyFont="1">
      <alignment horizontal="center" shrinkToFit="0" vertical="center" wrapText="1"/>
    </xf>
    <xf borderId="34" fillId="9" fontId="31" numFmtId="0" xfId="0" applyAlignment="1" applyBorder="1" applyFont="1">
      <alignment horizontal="center" shrinkToFit="0" vertical="center" wrapText="1"/>
    </xf>
    <xf borderId="34" fillId="9" fontId="31" numFmtId="4" xfId="0" applyAlignment="1" applyBorder="1" applyFont="1" applyNumberFormat="1">
      <alignment horizontal="center" vertical="center"/>
    </xf>
    <xf borderId="34" fillId="7" fontId="35" numFmtId="0" xfId="0" applyAlignment="1" applyBorder="1" applyFont="1">
      <alignment horizontal="left" vertical="center"/>
    </xf>
    <xf borderId="34" fillId="7" fontId="35" numFmtId="0" xfId="0" applyAlignment="1" applyBorder="1" applyFont="1">
      <alignment horizontal="center" vertical="center"/>
    </xf>
    <xf borderId="34" fillId="7" fontId="43" numFmtId="0" xfId="0" applyAlignment="1" applyBorder="1" applyFont="1">
      <alignment horizontal="left" vertical="center"/>
    </xf>
    <xf borderId="34" fillId="7" fontId="43" numFmtId="165" xfId="0" applyAlignment="1" applyBorder="1" applyFont="1" applyNumberFormat="1">
      <alignment horizontal="center" vertical="center"/>
    </xf>
    <xf borderId="34" fillId="7" fontId="35" numFmtId="4" xfId="0" applyAlignment="1" applyBorder="1" applyFont="1" applyNumberFormat="1">
      <alignment horizontal="center" vertical="center"/>
    </xf>
    <xf borderId="34" fillId="9" fontId="31" numFmtId="0" xfId="0" applyAlignment="1" applyBorder="1" applyFont="1">
      <alignment horizontal="left" vertical="center"/>
    </xf>
    <xf borderId="34" fillId="9" fontId="35" numFmtId="0" xfId="0" applyAlignment="1" applyBorder="1" applyFont="1">
      <alignment horizontal="left" vertical="center"/>
    </xf>
    <xf borderId="34" fillId="9" fontId="35" numFmtId="0" xfId="0" applyAlignment="1" applyBorder="1" applyFont="1">
      <alignment horizontal="center" vertical="center"/>
    </xf>
    <xf borderId="34" fillId="9" fontId="43" numFmtId="0" xfId="0" applyAlignment="1" applyBorder="1" applyFont="1">
      <alignment horizontal="left" vertical="center"/>
    </xf>
    <xf borderId="34" fillId="9" fontId="43" numFmtId="165" xfId="0" applyAlignment="1" applyBorder="1" applyFont="1" applyNumberFormat="1">
      <alignment horizontal="center" vertical="center"/>
    </xf>
    <xf borderId="24" fillId="7" fontId="41" numFmtId="0" xfId="0" applyAlignment="1" applyBorder="1" applyFont="1">
      <alignment horizontal="center" vertical="center"/>
    </xf>
    <xf borderId="34" fillId="16" fontId="7" numFmtId="4" xfId="0" applyAlignment="1" applyBorder="1" applyFont="1" applyNumberFormat="1">
      <alignment horizontal="center" vertical="center"/>
    </xf>
    <xf borderId="34" fillId="16" fontId="7" numFmtId="0" xfId="0" applyAlignment="1" applyBorder="1" applyFont="1">
      <alignment horizontal="center" vertical="center"/>
    </xf>
    <xf borderId="34" fillId="16" fontId="46" numFmtId="0" xfId="0" applyBorder="1" applyFont="1"/>
    <xf borderId="33" fillId="0" fontId="27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3" fontId="48" numFmtId="0" xfId="0" applyAlignment="1" applyBorder="1" applyFont="1">
      <alignment horizontal="center" vertical="center"/>
    </xf>
    <xf borderId="37" fillId="0" fontId="2" numFmtId="0" xfId="0" applyBorder="1" applyFont="1"/>
    <xf borderId="38" fillId="0" fontId="2" numFmtId="0" xfId="0" applyBorder="1" applyFont="1"/>
    <xf borderId="39" fillId="2" fontId="1" numFmtId="0" xfId="0" applyAlignment="1" applyBorder="1" applyFont="1">
      <alignment horizontal="center" vertical="center"/>
    </xf>
    <xf borderId="36" fillId="2" fontId="49" numFmtId="0" xfId="0" applyAlignment="1" applyBorder="1" applyFont="1">
      <alignment horizontal="center" vertical="center"/>
    </xf>
    <xf borderId="16" fillId="8" fontId="11" numFmtId="0" xfId="0" applyAlignment="1" applyBorder="1" applyFont="1">
      <alignment horizontal="center" vertical="center"/>
    </xf>
    <xf borderId="16" fillId="16" fontId="7" numFmtId="0" xfId="0" applyAlignment="1" applyBorder="1" applyFont="1">
      <alignment horizontal="left" vertical="center"/>
    </xf>
    <xf borderId="1" fillId="17" fontId="1" numFmtId="0" xfId="0" applyAlignment="1" applyBorder="1" applyFont="1">
      <alignment horizontal="center" vertical="center"/>
    </xf>
    <xf borderId="1" fillId="24" fontId="50" numFmtId="0" xfId="0" applyAlignment="1" applyBorder="1" applyFill="1" applyFont="1">
      <alignment horizontal="center" vertical="center"/>
    </xf>
    <xf borderId="1" fillId="3" fontId="51" numFmtId="0" xfId="0" applyAlignment="1" applyBorder="1" applyFont="1">
      <alignment horizontal="center" vertical="center"/>
    </xf>
    <xf borderId="16" fillId="19" fontId="52" numFmtId="165" xfId="0" applyAlignment="1" applyBorder="1" applyFont="1" applyNumberFormat="1">
      <alignment horizontal="center" vertical="center"/>
    </xf>
    <xf borderId="16" fillId="17" fontId="1" numFmtId="0" xfId="0" applyAlignment="1" applyBorder="1" applyFont="1">
      <alignment horizontal="center" shrinkToFit="0" vertical="center" wrapText="1"/>
    </xf>
    <xf borderId="16" fillId="25" fontId="37" numFmtId="0" xfId="0" applyAlignment="1" applyBorder="1" applyFill="1" applyFont="1">
      <alignment horizontal="left" vertical="center"/>
    </xf>
    <xf borderId="16" fillId="7" fontId="27" numFmtId="0" xfId="0" applyAlignment="1" applyBorder="1" applyFont="1">
      <alignment horizontal="center" vertical="center"/>
    </xf>
    <xf borderId="16" fillId="9" fontId="31" numFmtId="3" xfId="0" applyAlignment="1" applyBorder="1" applyFont="1" applyNumberFormat="1">
      <alignment horizontal="center" vertical="center"/>
    </xf>
    <xf borderId="16" fillId="19" fontId="52" numFmtId="3" xfId="0" applyAlignment="1" applyBorder="1" applyFont="1" applyNumberFormat="1">
      <alignment horizontal="center" vertical="center"/>
    </xf>
    <xf borderId="16" fillId="25" fontId="37" numFmtId="4" xfId="0" applyAlignment="1" applyBorder="1" applyFont="1" applyNumberFormat="1">
      <alignment horizontal="center" vertical="center"/>
    </xf>
    <xf borderId="16" fillId="9" fontId="27" numFmtId="0" xfId="0" applyAlignment="1" applyBorder="1" applyFont="1">
      <alignment horizontal="center" vertical="center"/>
    </xf>
    <xf borderId="16" fillId="24" fontId="1" numFmtId="0" xfId="0" applyAlignment="1" applyBorder="1" applyFont="1">
      <alignment horizontal="left" vertical="center"/>
    </xf>
    <xf borderId="16" fillId="24" fontId="4" numFmtId="0" xfId="0" applyBorder="1" applyFont="1"/>
    <xf borderId="16" fillId="24" fontId="1" numFmtId="3" xfId="0" applyAlignment="1" applyBorder="1" applyFont="1" applyNumberFormat="1">
      <alignment horizontal="center" vertical="center"/>
    </xf>
    <xf borderId="16" fillId="24" fontId="1" numFmtId="4" xfId="0" applyAlignment="1" applyBorder="1" applyFont="1" applyNumberFormat="1">
      <alignment horizontal="center" vertical="center"/>
    </xf>
    <xf borderId="40" fillId="17" fontId="1" numFmtId="0" xfId="0" applyAlignment="1" applyBorder="1" applyFont="1">
      <alignment horizontal="center" vertical="center"/>
    </xf>
    <xf borderId="41" fillId="0" fontId="2" numFmtId="0" xfId="0" applyBorder="1" applyFont="1"/>
    <xf borderId="42" fillId="0" fontId="2" numFmtId="0" xfId="0" applyBorder="1" applyFont="1"/>
    <xf borderId="43" fillId="16" fontId="7" numFmtId="3" xfId="0" applyAlignment="1" applyBorder="1" applyFont="1" applyNumberFormat="1">
      <alignment horizontal="center" vertical="center"/>
    </xf>
    <xf borderId="43" fillId="16" fontId="4" numFmtId="0" xfId="0" applyBorder="1" applyFont="1"/>
    <xf borderId="43" fillId="16" fontId="7" numFmtId="4" xfId="0" applyAlignment="1" applyBorder="1" applyFont="1" applyNumberFormat="1">
      <alignment horizontal="center" vertical="center"/>
    </xf>
    <xf borderId="1" fillId="11" fontId="1" numFmtId="0" xfId="0" applyAlignment="1" applyBorder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24" fillId="19" fontId="52" numFmtId="165" xfId="0" applyAlignment="1" applyBorder="1" applyFont="1" applyNumberFormat="1">
      <alignment horizontal="left" vertical="center"/>
    </xf>
    <xf borderId="16" fillId="11" fontId="1" numFmtId="0" xfId="0" applyAlignment="1" applyBorder="1" applyFont="1">
      <alignment horizontal="center" shrinkToFit="0" vertical="center" wrapText="1"/>
    </xf>
    <xf borderId="24" fillId="6" fontId="1" numFmtId="0" xfId="0" applyAlignment="1" applyBorder="1" applyFont="1">
      <alignment horizontal="left" vertical="center"/>
    </xf>
    <xf borderId="16" fillId="7" fontId="43" numFmtId="0" xfId="0" applyAlignment="1" applyBorder="1" applyFont="1">
      <alignment horizontal="center" vertical="center"/>
    </xf>
    <xf borderId="16" fillId="9" fontId="31" numFmtId="4" xfId="0" applyAlignment="1" applyBorder="1" applyFont="1" applyNumberFormat="1">
      <alignment horizontal="left" vertical="center"/>
    </xf>
    <xf borderId="16" fillId="9" fontId="31" numFmtId="0" xfId="0" applyAlignment="1" applyBorder="1" applyFont="1">
      <alignment horizontal="center" vertical="center"/>
    </xf>
    <xf borderId="16" fillId="7" fontId="4" numFmtId="0" xfId="0" applyBorder="1" applyFont="1"/>
    <xf borderId="16" fillId="21" fontId="53" numFmtId="4" xfId="0" applyAlignment="1" applyBorder="1" applyFont="1" applyNumberFormat="1">
      <alignment horizontal="center" vertical="center"/>
    </xf>
    <xf borderId="16" fillId="9" fontId="43" numFmtId="0" xfId="0" applyAlignment="1" applyBorder="1" applyFont="1">
      <alignment horizontal="center" vertical="center"/>
    </xf>
    <xf borderId="16" fillId="9" fontId="4" numFmtId="0" xfId="0" applyBorder="1" applyFont="1"/>
    <xf borderId="16" fillId="6" fontId="1" numFmtId="4" xfId="0" applyAlignment="1" applyBorder="1" applyFont="1" applyNumberFormat="1">
      <alignment horizontal="center" vertical="center"/>
    </xf>
    <xf borderId="16" fillId="6" fontId="4" numFmtId="0" xfId="0" applyBorder="1" applyFont="1"/>
    <xf borderId="24" fillId="10" fontId="1" numFmtId="0" xfId="0" applyAlignment="1" applyBorder="1" applyFont="1">
      <alignment horizontal="left" vertical="center"/>
    </xf>
    <xf borderId="16" fillId="10" fontId="1" numFmtId="4" xfId="0" applyAlignment="1" applyBorder="1" applyFont="1" applyNumberFormat="1">
      <alignment horizontal="center" vertical="center"/>
    </xf>
    <xf borderId="16" fillId="10" fontId="4" numFmtId="0" xfId="0" applyBorder="1" applyFont="1"/>
    <xf borderId="24" fillId="11" fontId="1" numFmtId="0" xfId="0" applyAlignment="1" applyBorder="1" applyFont="1">
      <alignment horizontal="left" vertical="center"/>
    </xf>
    <xf borderId="16" fillId="11" fontId="1" numFmtId="4" xfId="0" applyAlignment="1" applyBorder="1" applyFont="1" applyNumberFormat="1">
      <alignment horizontal="center" vertical="center"/>
    </xf>
    <xf borderId="16" fillId="11" fontId="4" numFmtId="0" xfId="0" applyBorder="1" applyFont="1"/>
    <xf borderId="24" fillId="26" fontId="1" numFmtId="0" xfId="0" applyAlignment="1" applyBorder="1" applyFill="1" applyFont="1">
      <alignment horizontal="left" vertical="center"/>
    </xf>
    <xf borderId="16" fillId="26" fontId="1" numFmtId="4" xfId="0" applyAlignment="1" applyBorder="1" applyFont="1" applyNumberFormat="1">
      <alignment horizontal="center" vertical="center"/>
    </xf>
    <xf borderId="16" fillId="26" fontId="4" numFmtId="0" xfId="0" applyBorder="1" applyFont="1"/>
    <xf borderId="24" fillId="12" fontId="1" numFmtId="0" xfId="0" applyAlignment="1" applyBorder="1" applyFont="1">
      <alignment horizontal="left" vertical="center"/>
    </xf>
    <xf borderId="16" fillId="12" fontId="1" numFmtId="4" xfId="0" applyAlignment="1" applyBorder="1" applyFont="1" applyNumberFormat="1">
      <alignment horizontal="center" vertical="center"/>
    </xf>
    <xf borderId="16" fillId="12" fontId="4" numFmtId="0" xfId="0" applyBorder="1" applyFont="1"/>
    <xf borderId="24" fillId="11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8.43"/>
    <col customWidth="1" min="3" max="3" width="82.14"/>
    <col customWidth="1" min="4" max="4" width="33.71"/>
    <col customWidth="1" min="5" max="5" width="24.43"/>
    <col customWidth="1" min="6" max="6" width="37.86"/>
    <col customWidth="1" min="7" max="7" width="46.71"/>
    <col customWidth="1" min="8" max="8" width="34.86"/>
  </cols>
  <sheetData>
    <row r="1" ht="42.0" customHeight="1">
      <c r="A1" s="1" t="s">
        <v>0</v>
      </c>
      <c r="B1" s="2"/>
      <c r="C1" s="2"/>
      <c r="D1" s="2"/>
      <c r="E1" s="2"/>
      <c r="F1" s="2"/>
      <c r="G1" s="2"/>
      <c r="H1" s="2"/>
    </row>
    <row r="2" ht="24.0" customHeight="1">
      <c r="A2" s="3" t="s">
        <v>1</v>
      </c>
      <c r="B2" s="2"/>
      <c r="C2" s="2"/>
      <c r="D2" s="2"/>
      <c r="E2" s="2"/>
      <c r="F2" s="2"/>
      <c r="G2" s="2"/>
      <c r="H2" s="2"/>
    </row>
    <row r="3" ht="9.75" customHeight="1">
      <c r="A3" s="4"/>
      <c r="B3" s="4"/>
      <c r="C3" s="4"/>
      <c r="D3" s="4"/>
      <c r="E3" s="4"/>
      <c r="F3" s="4"/>
      <c r="G3" s="4"/>
      <c r="H3" s="4"/>
    </row>
    <row r="4" ht="19.5" customHeight="1">
      <c r="A4" s="4"/>
      <c r="B4" s="5" t="s">
        <v>2</v>
      </c>
      <c r="C4" s="6"/>
      <c r="D4" s="7" t="s">
        <v>3</v>
      </c>
      <c r="E4" s="8"/>
      <c r="F4" s="9" t="s">
        <v>4</v>
      </c>
      <c r="G4" s="10"/>
      <c r="H4" s="11" t="s">
        <v>5</v>
      </c>
    </row>
    <row r="5" ht="33.75" customHeight="1">
      <c r="A5" s="12"/>
      <c r="B5" s="13">
        <v>16.0</v>
      </c>
      <c r="C5" s="14"/>
      <c r="D5" s="15">
        <f>COUNTIF('📋 Activity Index'!E5:E21,"Completed")</f>
        <v>11</v>
      </c>
      <c r="E5" s="16"/>
      <c r="F5" s="17">
        <f>COUNTIF('📋 Activity Index'!E11:E35,"Planned")</f>
        <v>5</v>
      </c>
      <c r="G5" s="18"/>
      <c r="H5" s="19">
        <f>G37+'💰 Salary &amp; Stipend'!R14</f>
        <v>18516.28878</v>
      </c>
    </row>
    <row r="6">
      <c r="A6" s="12"/>
      <c r="B6" s="12"/>
      <c r="C6" s="12"/>
      <c r="D6" s="12"/>
      <c r="E6" s="12"/>
      <c r="F6" s="12"/>
      <c r="G6" s="12"/>
      <c r="H6" s="12"/>
    </row>
    <row r="7" ht="9.75" customHeight="1">
      <c r="A7" s="12"/>
      <c r="B7" s="12"/>
      <c r="C7" s="12"/>
      <c r="D7" s="12"/>
      <c r="E7" s="12"/>
      <c r="F7" s="12"/>
      <c r="G7" s="12"/>
      <c r="H7" s="12"/>
    </row>
    <row r="8" ht="25.5" customHeight="1">
      <c r="A8" s="20" t="s">
        <v>6</v>
      </c>
      <c r="B8" s="2"/>
      <c r="C8" s="2"/>
      <c r="D8" s="2"/>
      <c r="E8" s="2"/>
      <c r="F8" s="2"/>
      <c r="G8" s="2"/>
      <c r="H8" s="2"/>
    </row>
    <row r="9" ht="24.0" customHeight="1">
      <c r="A9" s="21"/>
      <c r="B9" s="22" t="s">
        <v>7</v>
      </c>
      <c r="C9" s="22" t="s">
        <v>8</v>
      </c>
      <c r="D9" s="22" t="s">
        <v>9</v>
      </c>
      <c r="E9" s="22" t="s">
        <v>10</v>
      </c>
      <c r="F9" s="22" t="s">
        <v>11</v>
      </c>
      <c r="G9" s="22" t="s">
        <v>12</v>
      </c>
      <c r="H9" s="22" t="s">
        <v>13</v>
      </c>
    </row>
    <row r="10" ht="18.0" customHeight="1">
      <c r="A10" s="23" t="s">
        <v>14</v>
      </c>
      <c r="B10" s="2"/>
      <c r="C10" s="2"/>
      <c r="D10" s="2"/>
      <c r="E10" s="2"/>
      <c r="F10" s="2"/>
      <c r="G10" s="2"/>
      <c r="H10" s="2"/>
    </row>
    <row r="11" ht="21.75" customHeight="1">
      <c r="A11" s="24"/>
      <c r="B11" s="25">
        <v>1.0</v>
      </c>
      <c r="C11" s="26" t="s">
        <v>15</v>
      </c>
      <c r="D11" s="25" t="s">
        <v>16</v>
      </c>
      <c r="E11" s="27" t="s">
        <v>17</v>
      </c>
      <c r="F11" s="28"/>
      <c r="H11" s="29" t="s">
        <v>18</v>
      </c>
    </row>
    <row r="12" ht="21.75" customHeight="1">
      <c r="A12" s="24"/>
      <c r="B12" s="30">
        <v>2.0</v>
      </c>
      <c r="C12" s="31" t="s">
        <v>19</v>
      </c>
      <c r="D12" s="30" t="s">
        <v>20</v>
      </c>
      <c r="E12" s="32" t="s">
        <v>21</v>
      </c>
      <c r="F12" s="33" t="str">
        <f>'📋 Activity Index'!G13</f>
        <v/>
      </c>
      <c r="G12" s="34">
        <f>'Mar26 Monthly Edit-a-thon'!K23</f>
        <v>0</v>
      </c>
      <c r="H12" s="29" t="s">
        <v>18</v>
      </c>
    </row>
    <row r="13" ht="21.75" customHeight="1">
      <c r="A13" s="24"/>
      <c r="B13" s="30">
        <v>3.0</v>
      </c>
      <c r="C13" s="31" t="s">
        <v>22</v>
      </c>
      <c r="D13" s="30" t="s">
        <v>23</v>
      </c>
      <c r="E13" s="32" t="s">
        <v>21</v>
      </c>
      <c r="F13" s="33" t="str">
        <f>'📋 Activity Index'!G14</f>
        <v/>
      </c>
      <c r="G13" s="34">
        <f>'Apr26 Monthly Edit-a-thon'!I22</f>
        <v>0</v>
      </c>
      <c r="H13" s="29" t="s">
        <v>18</v>
      </c>
    </row>
    <row r="14" ht="21.75" customHeight="1">
      <c r="A14" s="24"/>
      <c r="B14" s="25">
        <v>4.0</v>
      </c>
      <c r="C14" s="35" t="s">
        <v>24</v>
      </c>
      <c r="D14" s="36">
        <v>45839.0</v>
      </c>
      <c r="E14" s="27" t="s">
        <v>17</v>
      </c>
      <c r="F14" s="28"/>
      <c r="G14" s="37">
        <f>'Monthly In-Personal Edit-a-thon'!K23</f>
        <v>1173.84</v>
      </c>
      <c r="H14" s="38"/>
    </row>
    <row r="15" ht="21.75" customHeight="1">
      <c r="A15" s="24"/>
      <c r="B15" s="39">
        <v>5.0</v>
      </c>
      <c r="C15" s="40" t="s">
        <v>25</v>
      </c>
      <c r="D15" s="39" t="s">
        <v>26</v>
      </c>
      <c r="E15" s="41" t="s">
        <v>17</v>
      </c>
      <c r="F15" s="42" t="str">
        <f>'📋 Activity Index'!G6</f>
        <v/>
      </c>
      <c r="G15" s="43">
        <f>'📋 Activity Index'!H6</f>
        <v>1149.312</v>
      </c>
      <c r="H15" s="29" t="s">
        <v>18</v>
      </c>
    </row>
    <row r="16" ht="21.75" customHeight="1">
      <c r="A16" s="24"/>
      <c r="B16" s="25">
        <v>6.0</v>
      </c>
      <c r="C16" s="26" t="s">
        <v>27</v>
      </c>
      <c r="D16" s="25" t="s">
        <v>28</v>
      </c>
      <c r="E16" s="27" t="s">
        <v>17</v>
      </c>
      <c r="F16" s="28" t="str">
        <f>'📋 Activity Index'!G7</f>
        <v/>
      </c>
      <c r="G16" s="37">
        <f>'📋 Activity Index'!H7</f>
        <v>1121.28</v>
      </c>
      <c r="H16" s="29" t="s">
        <v>18</v>
      </c>
    </row>
    <row r="17" ht="18.0" customHeight="1">
      <c r="A17" s="44" t="s">
        <v>29</v>
      </c>
      <c r="B17" s="45"/>
      <c r="C17" s="45"/>
      <c r="D17" s="45"/>
      <c r="E17" s="45"/>
      <c r="F17" s="45"/>
      <c r="G17" s="45"/>
      <c r="H17" s="46"/>
    </row>
    <row r="18" ht="21.75" customHeight="1">
      <c r="A18" s="47"/>
      <c r="B18" s="39">
        <v>7.0</v>
      </c>
      <c r="C18" s="40" t="s">
        <v>30</v>
      </c>
      <c r="D18" s="39" t="s">
        <v>26</v>
      </c>
      <c r="E18" s="41" t="s">
        <v>17</v>
      </c>
      <c r="F18" s="42" t="str">
        <f>'📋 Activity Index'!G8</f>
        <v/>
      </c>
      <c r="G18" s="43">
        <f>'📋 Activity Index'!H8</f>
        <v>1177.05</v>
      </c>
      <c r="H18" s="48" t="s">
        <v>18</v>
      </c>
    </row>
    <row r="19" ht="21.75" customHeight="1">
      <c r="A19" s="47"/>
      <c r="B19" s="30">
        <v>8.0</v>
      </c>
      <c r="C19" s="31" t="s">
        <v>31</v>
      </c>
      <c r="D19" s="30" t="s">
        <v>32</v>
      </c>
      <c r="E19" s="32" t="s">
        <v>17</v>
      </c>
      <c r="F19" s="33" t="str">
        <f>'📋 Activity Index'!G15</f>
        <v/>
      </c>
      <c r="G19" s="34">
        <f>'Feb26 Wikimalkia Workshop'!K23</f>
        <v>1213.26</v>
      </c>
      <c r="H19" s="48" t="s">
        <v>18</v>
      </c>
    </row>
    <row r="20" ht="21.75" customHeight="1">
      <c r="A20" s="47"/>
      <c r="B20" s="25">
        <v>9.0</v>
      </c>
      <c r="C20" s="26" t="s">
        <v>33</v>
      </c>
      <c r="D20" s="25" t="s">
        <v>34</v>
      </c>
      <c r="E20" s="27" t="s">
        <v>17</v>
      </c>
      <c r="F20" s="28" t="str">
        <f>'📋 Activity Index'!G9</f>
        <v/>
      </c>
      <c r="G20" s="37">
        <f>'📋 Activity Index'!H9</f>
        <v>1092.81</v>
      </c>
      <c r="H20" s="48" t="s">
        <v>18</v>
      </c>
    </row>
    <row r="21" ht="18.0" customHeight="1">
      <c r="A21" s="49" t="s">
        <v>35</v>
      </c>
      <c r="B21" s="45"/>
      <c r="C21" s="45"/>
      <c r="D21" s="45"/>
      <c r="E21" s="45"/>
      <c r="F21" s="45"/>
      <c r="G21" s="45"/>
      <c r="H21" s="46"/>
    </row>
    <row r="22" ht="21.75" customHeight="1">
      <c r="A22" s="50"/>
      <c r="B22" s="39">
        <v>10.0</v>
      </c>
      <c r="C22" s="40" t="s">
        <v>36</v>
      </c>
      <c r="D22" s="39" t="s">
        <v>37</v>
      </c>
      <c r="E22" s="41" t="s">
        <v>17</v>
      </c>
      <c r="F22" s="42" t="str">
        <f>'📋 Activity Index'!G10</f>
        <v/>
      </c>
      <c r="G22" s="43">
        <f>'📋 Activity Index'!H10</f>
        <v>1116.9</v>
      </c>
      <c r="H22" s="51" t="s">
        <v>18</v>
      </c>
    </row>
    <row r="23" ht="21.75" customHeight="1">
      <c r="A23" s="50"/>
      <c r="B23" s="25">
        <v>11.0</v>
      </c>
      <c r="C23" s="26" t="s">
        <v>38</v>
      </c>
      <c r="D23" s="25" t="s">
        <v>39</v>
      </c>
      <c r="E23" s="27" t="s">
        <v>17</v>
      </c>
      <c r="F23" s="28" t="str">
        <f>'📋 Activity Index'!G11</f>
        <v/>
      </c>
      <c r="G23" s="37">
        <f>'📋 Activity Index'!H11</f>
        <v>1254.87</v>
      </c>
      <c r="H23" s="51" t="s">
        <v>18</v>
      </c>
    </row>
    <row r="24" ht="18.0" customHeight="1">
      <c r="A24" s="52" t="s">
        <v>40</v>
      </c>
      <c r="B24" s="45"/>
      <c r="C24" s="45"/>
      <c r="D24" s="45"/>
      <c r="E24" s="45"/>
      <c r="F24" s="45"/>
      <c r="G24" s="45"/>
      <c r="H24" s="46"/>
    </row>
    <row r="25" ht="21.75" customHeight="1">
      <c r="A25" s="53"/>
      <c r="B25" s="30">
        <v>12.0</v>
      </c>
      <c r="C25" s="31" t="s">
        <v>41</v>
      </c>
      <c r="D25" s="30" t="s">
        <v>42</v>
      </c>
      <c r="E25" s="32" t="s">
        <v>21</v>
      </c>
      <c r="F25" s="33" t="str">
        <f>'📋 Activity Index'!G19</f>
        <v/>
      </c>
      <c r="G25" s="34">
        <f>'📋 Activity Index'!H19</f>
        <v>0</v>
      </c>
      <c r="H25" s="54" t="s">
        <v>18</v>
      </c>
    </row>
    <row r="26" ht="21.75" customHeight="1">
      <c r="A26" s="53"/>
      <c r="B26" s="39">
        <v>13.0</v>
      </c>
      <c r="C26" s="40" t="s">
        <v>43</v>
      </c>
      <c r="D26" s="39" t="s">
        <v>44</v>
      </c>
      <c r="E26" s="41" t="s">
        <v>17</v>
      </c>
      <c r="F26" s="42" t="str">
        <f>'📋 Activity Index'!G12</f>
        <v/>
      </c>
      <c r="G26" s="43">
        <f>'Lets Connect Event 1'!I22</f>
        <v>1414.74</v>
      </c>
      <c r="H26" s="54" t="s">
        <v>18</v>
      </c>
    </row>
    <row r="27" ht="18.0" customHeight="1">
      <c r="A27" s="55" t="s">
        <v>45</v>
      </c>
      <c r="B27" s="45"/>
      <c r="C27" s="45"/>
      <c r="D27" s="45"/>
      <c r="E27" s="45"/>
      <c r="F27" s="45"/>
      <c r="G27" s="45"/>
      <c r="H27" s="46"/>
    </row>
    <row r="28" ht="21.75" customHeight="1">
      <c r="A28" s="56"/>
      <c r="B28" s="30">
        <v>14.0</v>
      </c>
      <c r="C28" s="31" t="s">
        <v>46</v>
      </c>
      <c r="D28" s="30" t="s">
        <v>32</v>
      </c>
      <c r="E28" s="32" t="s">
        <v>21</v>
      </c>
      <c r="F28" s="33" t="str">
        <f>'📋 Activity Index'!G16</f>
        <v/>
      </c>
      <c r="G28" s="34">
        <f>'Feb26 Feminism Folklore'!I22</f>
        <v>0</v>
      </c>
      <c r="H28" s="57" t="s">
        <v>18</v>
      </c>
    </row>
    <row r="29" ht="18.0" customHeight="1">
      <c r="A29" s="58" t="s">
        <v>47</v>
      </c>
      <c r="B29" s="45"/>
      <c r="C29" s="45"/>
      <c r="D29" s="45"/>
      <c r="E29" s="45"/>
      <c r="F29" s="45"/>
      <c r="G29" s="45"/>
      <c r="H29" s="46"/>
    </row>
    <row r="30" ht="21.75" customHeight="1">
      <c r="A30" s="59"/>
      <c r="B30" s="30">
        <v>15.0</v>
      </c>
      <c r="C30" s="31" t="s">
        <v>48</v>
      </c>
      <c r="D30" s="30" t="s">
        <v>20</v>
      </c>
      <c r="E30" s="32" t="s">
        <v>21</v>
      </c>
      <c r="F30" s="33" t="str">
        <f>'📋 Activity Index'!G17</f>
        <v/>
      </c>
      <c r="G30" s="34">
        <f>'📋 Activity Index'!H17</f>
        <v>0</v>
      </c>
      <c r="H30" s="60" t="s">
        <v>18</v>
      </c>
    </row>
    <row r="31" ht="21.75" customHeight="1">
      <c r="A31" s="59"/>
      <c r="B31" s="30">
        <v>16.0</v>
      </c>
      <c r="C31" s="61"/>
      <c r="D31" s="30"/>
      <c r="E31" s="32"/>
      <c r="F31" s="62"/>
      <c r="G31" s="34"/>
      <c r="H31" s="63" t="s">
        <v>18</v>
      </c>
    </row>
    <row r="32" ht="21.75" customHeight="1">
      <c r="A32" s="64"/>
      <c r="B32" s="65"/>
      <c r="C32" s="45"/>
      <c r="D32" s="45"/>
      <c r="E32" s="45"/>
      <c r="F32" s="45"/>
      <c r="G32" s="45"/>
      <c r="H32" s="46"/>
    </row>
    <row r="33" ht="33.0" customHeight="1">
      <c r="A33" s="64"/>
      <c r="B33" s="66">
        <v>15.0</v>
      </c>
      <c r="C33" s="67" t="s">
        <v>49</v>
      </c>
      <c r="D33" s="66" t="s">
        <v>50</v>
      </c>
      <c r="E33" s="68" t="s">
        <v>17</v>
      </c>
      <c r="F33" s="69"/>
      <c r="G33" s="34">
        <f>'Kiwix for shool-program'!I22</f>
        <v>951.74</v>
      </c>
      <c r="H33" s="70" t="s">
        <v>18</v>
      </c>
    </row>
    <row r="34" ht="21.75" customHeight="1">
      <c r="A34" s="58" t="s">
        <v>47</v>
      </c>
      <c r="B34" s="45"/>
      <c r="C34" s="45"/>
      <c r="D34" s="45"/>
      <c r="E34" s="45"/>
      <c r="F34" s="45"/>
      <c r="G34" s="45"/>
      <c r="H34" s="46"/>
    </row>
    <row r="35" ht="39.0" customHeight="1">
      <c r="A35" s="59"/>
      <c r="B35" s="30">
        <v>16.0</v>
      </c>
      <c r="C35" s="31" t="s">
        <v>51</v>
      </c>
      <c r="D35" s="30" t="s">
        <v>52</v>
      </c>
      <c r="E35" s="32" t="s">
        <v>21</v>
      </c>
      <c r="F35" s="33" t="str">
        <f>'📋 Activity Index'!G20</f>
        <v/>
      </c>
      <c r="G35" s="37">
        <f>'Aug25 Monthly Edit-a-thon'!K23</f>
        <v>1149.312</v>
      </c>
      <c r="H35" s="60" t="s">
        <v>18</v>
      </c>
    </row>
    <row r="36" ht="30.0" customHeight="1">
      <c r="A36" s="71"/>
      <c r="B36" s="71"/>
      <c r="C36" s="71"/>
      <c r="D36" s="71"/>
      <c r="E36" s="71"/>
      <c r="F36" s="71"/>
      <c r="G36" s="71"/>
      <c r="H36" s="71"/>
    </row>
    <row r="37" ht="39.75" customHeight="1">
      <c r="A37" s="72" t="s">
        <v>53</v>
      </c>
      <c r="B37" s="45"/>
      <c r="C37" s="45"/>
      <c r="D37" s="45"/>
      <c r="E37" s="46"/>
      <c r="F37" s="73" t="str">
        <f>'📋 Activity Index'!G21</f>
        <v/>
      </c>
      <c r="G37" s="73">
        <f>'📋 Activity Index'!H22</f>
        <v>12916.292</v>
      </c>
      <c r="H37" s="74"/>
    </row>
    <row r="38" ht="24.0" customHeight="1">
      <c r="A38" s="71"/>
      <c r="B38" s="71"/>
      <c r="C38" s="71"/>
      <c r="D38" s="71"/>
      <c r="E38" s="71"/>
      <c r="F38" s="71"/>
      <c r="G38" s="71"/>
      <c r="H38" s="71"/>
    </row>
    <row r="39" ht="25.5" customHeight="1">
      <c r="A39" s="75" t="s">
        <v>54</v>
      </c>
      <c r="B39" s="45"/>
      <c r="C39" s="45"/>
      <c r="D39" s="45"/>
      <c r="E39" s="45"/>
      <c r="F39" s="45"/>
      <c r="G39" s="45"/>
      <c r="H39" s="46"/>
    </row>
    <row r="40" ht="25.5" customHeight="1">
      <c r="A40" s="76" t="s">
        <v>55</v>
      </c>
      <c r="B40" s="46"/>
      <c r="C40" s="77" t="s">
        <v>56</v>
      </c>
      <c r="D40" s="45"/>
      <c r="E40" s="45"/>
      <c r="F40" s="46"/>
      <c r="G40" s="78" t="s">
        <v>18</v>
      </c>
      <c r="H40" s="79"/>
    </row>
    <row r="41" ht="25.5" customHeight="1">
      <c r="A41" s="80" t="s">
        <v>57</v>
      </c>
      <c r="B41" s="46"/>
      <c r="C41" s="77" t="s">
        <v>58</v>
      </c>
      <c r="D41" s="45"/>
      <c r="E41" s="45"/>
      <c r="F41" s="46"/>
      <c r="G41" s="81" t="s">
        <v>18</v>
      </c>
      <c r="H41" s="79"/>
    </row>
    <row r="42" ht="54.0" customHeight="1">
      <c r="A42" s="82" t="s">
        <v>59</v>
      </c>
      <c r="B42" s="46"/>
      <c r="C42" s="77" t="s">
        <v>60</v>
      </c>
      <c r="D42" s="45"/>
      <c r="E42" s="45"/>
      <c r="F42" s="46"/>
      <c r="G42" s="51" t="s">
        <v>18</v>
      </c>
      <c r="H42" s="79"/>
    </row>
    <row r="43" ht="15.75" customHeight="1">
      <c r="A43" s="71"/>
      <c r="B43" s="71"/>
      <c r="C43" s="71"/>
      <c r="D43" s="71"/>
      <c r="E43" s="71"/>
      <c r="F43" s="71"/>
      <c r="G43" s="71"/>
      <c r="H43" s="71"/>
    </row>
    <row r="44" ht="15.75" customHeight="1">
      <c r="A44" s="83" t="s">
        <v>61</v>
      </c>
      <c r="B44" s="45"/>
      <c r="C44" s="45"/>
      <c r="D44" s="45"/>
      <c r="E44" s="45"/>
      <c r="F44" s="45"/>
      <c r="G44" s="45"/>
      <c r="H44" s="4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H1"/>
    <mergeCell ref="A2:H2"/>
    <mergeCell ref="B4:C4"/>
    <mergeCell ref="D4:E4"/>
    <mergeCell ref="F4:G4"/>
    <mergeCell ref="B5:C5"/>
    <mergeCell ref="D5:E5"/>
    <mergeCell ref="F5:G5"/>
    <mergeCell ref="A8:H8"/>
    <mergeCell ref="A10:H10"/>
    <mergeCell ref="A17:H17"/>
    <mergeCell ref="A21:H21"/>
    <mergeCell ref="A24:H24"/>
    <mergeCell ref="A27:H27"/>
    <mergeCell ref="A41:B41"/>
    <mergeCell ref="C41:F41"/>
    <mergeCell ref="A42:B42"/>
    <mergeCell ref="C42:F42"/>
    <mergeCell ref="A44:H44"/>
    <mergeCell ref="A29:H29"/>
    <mergeCell ref="B32:H32"/>
    <mergeCell ref="A34:H34"/>
    <mergeCell ref="A37:E37"/>
    <mergeCell ref="A39:H39"/>
    <mergeCell ref="A40:B40"/>
    <mergeCell ref="C40:F40"/>
  </mergeCells>
  <hyperlinks>
    <hyperlink display="Monthly In-Person Edit-a-thon — August 2025" location="'Aug25 Monthly Edit-a-thon'!A1" ref="C11"/>
    <hyperlink display="📂 Open" location="'Aug25 Monthly Edit-a-thon'!A1" ref="H11"/>
    <hyperlink display="Monthly In-Person Edit-a-thon — March 2026" location="'Mar26 Monthly Edit-a-thon'!A1" ref="C12"/>
    <hyperlink display="📂 Open" location="'Mar26 Monthly Edit-a-thon'!A1" ref="H12"/>
    <hyperlink display="Monthly In-Person Edit-a-thon — April 2026" location="'Apr26 Monthly Edit-a-thon'!A1" ref="C13"/>
    <hyperlink display="📂 Open" location="'Apr26 Monthly Edit-a-thon'!A1" ref="H13"/>
    <hyperlink display="Monthly In-Personal Edit-a-thon - July" location="'Monthly In-Personal Edit-a-thon'!A1" ref="C14"/>
    <hyperlink display="Monthly In-Person Edit-a-thon — October 2025" location="'Oct25 Monthly Edit-a-thon'!A1" ref="C15"/>
    <hyperlink display="📂 Open" location="'Oct25 Monthly Edit-a-thon'!A1" ref="H15"/>
    <hyperlink display="Monthly In-Person Edit-a-thon — December 2025" location="'Dec25 Monthly Edit-a-thon'!A1" ref="C16"/>
    <hyperlink display="📂 Open" location="'Dec25 Monthly Edit-a-thon'!A1" ref="H16"/>
    <hyperlink display="Wikimalkia Training — October 2025" location="'Oct25 Wikimalkia Training'!A1" ref="C18"/>
    <hyperlink display="📂 Open" location="'Oct25 Wikimalkia Training'!A1" ref="H18"/>
    <hyperlink display="Wikimalkia Workshop — February 2026" location="'Feb26 Wikimalkia Workshop'!A1" ref="C19"/>
    <hyperlink display="📂 Open" location="'Feb26 Wikimalkia Workshop'!A1" ref="H19"/>
    <hyperlink display="Wikimalkia Edit-a-thon — December 2025" location="'Dec25 Wikimalkia Edit-a-thon'!A1" ref="C20"/>
    <hyperlink display="📂 Open" location="'Dec25 Wikimalkia Edit-a-thon'!A1" ref="H20"/>
    <hyperlink display="Error, Fix and Contribute Workshop — November 2025" location="'Nov25 Error Fix Workshop'!A1" ref="C22"/>
    <hyperlink display="📂 Open" location="'Nov25 Error Fix Workshop'!A1" ref="H22"/>
    <hyperlink display="Error, Fix and Contribute Training — January 2026" location="'Jan26 Error Fix Training'!A1" ref="C23"/>
    <hyperlink display="📂 Open" location="'Jan26 Error Fix Training'!A1" ref="H23"/>
    <hyperlink display="Let's Connect: Inclusive Collaboration Space — Event 2 of 2" location="'Lets Connect Event 2'!A1" ref="C25"/>
    <hyperlink display="📂 Open" location="'Lets Connect Event 2'!A1" ref="H25"/>
    <hyperlink display="Let's Connect: Inclusive Collaboration Space — Event 1 of 2" location="'Lets Connect Event 1'!A1" ref="C26"/>
    <hyperlink display="📂 Open" location="'Lets Connect Event 1'!A1" ref="H26"/>
    <hyperlink display="Feminism and Folklore Edit-a-thon — February 2026" location="'Feb26 Feminism Folklore'!A1" ref="C28"/>
    <hyperlink display="📂 Open" location="'Feb26 Feminism Folklore'!A1" ref="H28"/>
    <hyperlink display="Wikimedia Community Kilimanjaro Training — March 2026" location="'Mar26 WCK Training'!A1" ref="C30"/>
    <hyperlink display="📂 Open" location="'Mar26 WCK Training'!A1" ref="H30"/>
    <hyperlink display="📂 Open" location="'Mar26 WCK Training'!A1" ref="H31"/>
    <hyperlink display="Kiwix Program for Schools" location="'Kiwix for shool-program'!A1" ref="C33"/>
    <hyperlink display="📂 Open" location="'Kiwix for shool-program'!A1" ref="H33"/>
    <hyperlink display="Wikimedia Community Kilimanjaro Wrap-up — May 2026" location="'May26 WCK Wrap-up'!A1" ref="C35"/>
    <hyperlink display="📂 Open" location="'May26 WCK Wrap-up'!A1" ref="H35"/>
    <hyperlink display="📂 Open" location="'📋 Activity Index'!A1" ref="G40"/>
    <hyperlink display="📂 Open" location="'💰 Salary &amp; Stipend'!A1" ref="G41"/>
    <hyperlink display="📂 Open" location="'🗂️ Administrative Costs'!A1" ref="G42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77.86"/>
    <col customWidth="1" min="3" max="3" width="47.43"/>
    <col customWidth="1" min="4" max="4" width="27.86"/>
    <col customWidth="1" min="5" max="5" width="21.71"/>
    <col customWidth="1" min="6" max="6" width="50.14"/>
    <col customWidth="1" min="7" max="7" width="28.86"/>
    <col customWidth="1" min="8" max="8" width="33.29"/>
    <col customWidth="1" min="9" max="9" width="8.86"/>
  </cols>
  <sheetData>
    <row r="1" ht="19.5" customHeight="1">
      <c r="A1" s="84" t="s">
        <v>62</v>
      </c>
      <c r="B1" s="45"/>
      <c r="C1" s="45"/>
      <c r="D1" s="45"/>
      <c r="E1" s="45"/>
      <c r="F1" s="46"/>
      <c r="G1" s="85"/>
      <c r="H1" s="85"/>
    </row>
    <row r="2" ht="18.0" customHeight="1">
      <c r="A2" s="86" t="s">
        <v>63</v>
      </c>
      <c r="B2" s="45"/>
      <c r="C2" s="45"/>
      <c r="D2" s="45"/>
      <c r="E2" s="45"/>
      <c r="F2" s="46"/>
      <c r="G2" s="85"/>
      <c r="H2" s="85"/>
    </row>
    <row r="3" ht="24.0" customHeight="1">
      <c r="A3" s="87" t="s">
        <v>64</v>
      </c>
      <c r="B3" s="85"/>
      <c r="C3" s="85"/>
      <c r="D3" s="85"/>
      <c r="E3" s="85"/>
      <c r="F3" s="85"/>
      <c r="G3" s="85"/>
      <c r="H3" s="85"/>
    </row>
    <row r="4" ht="19.5" customHeight="1">
      <c r="A4" s="88" t="s">
        <v>7</v>
      </c>
      <c r="B4" s="88" t="s">
        <v>8</v>
      </c>
      <c r="C4" s="88" t="s">
        <v>65</v>
      </c>
      <c r="D4" s="88" t="s">
        <v>9</v>
      </c>
      <c r="E4" s="88" t="s">
        <v>10</v>
      </c>
      <c r="F4" s="88" t="s">
        <v>66</v>
      </c>
      <c r="G4" s="89" t="s">
        <v>11</v>
      </c>
      <c r="H4" s="89" t="s">
        <v>12</v>
      </c>
    </row>
    <row r="5" ht="19.5" customHeight="1">
      <c r="A5" s="90"/>
      <c r="B5" s="91" t="s">
        <v>67</v>
      </c>
      <c r="C5" s="91" t="s">
        <v>68</v>
      </c>
      <c r="D5" s="92">
        <v>45839.0</v>
      </c>
      <c r="E5" s="93" t="s">
        <v>17</v>
      </c>
      <c r="F5" s="94" t="s">
        <v>24</v>
      </c>
      <c r="G5" s="95"/>
      <c r="H5" s="96">
        <f>'Monthly In-Personal Edit-a-thon'!K23</f>
        <v>1173.84</v>
      </c>
    </row>
    <row r="6" ht="19.5" customHeight="1">
      <c r="A6" s="90">
        <v>1.0</v>
      </c>
      <c r="B6" s="91" t="s">
        <v>15</v>
      </c>
      <c r="C6" s="91" t="s">
        <v>68</v>
      </c>
      <c r="D6" s="90" t="s">
        <v>16</v>
      </c>
      <c r="E6" s="93" t="s">
        <v>17</v>
      </c>
      <c r="F6" s="90" t="s">
        <v>69</v>
      </c>
      <c r="G6" s="95"/>
      <c r="H6" s="96">
        <f>'Aug25 Monthly Edit-a-thon'!K23</f>
        <v>1149.312</v>
      </c>
    </row>
    <row r="7" ht="19.5" customHeight="1">
      <c r="A7" s="97">
        <v>2.0</v>
      </c>
      <c r="B7" s="98" t="s">
        <v>25</v>
      </c>
      <c r="C7" s="98" t="s">
        <v>68</v>
      </c>
      <c r="D7" s="97" t="s">
        <v>26</v>
      </c>
      <c r="E7" s="99" t="s">
        <v>17</v>
      </c>
      <c r="F7" s="97" t="s">
        <v>70</v>
      </c>
      <c r="G7" s="95"/>
      <c r="H7" s="96">
        <f>'Oct25 Monthly Edit-a-thon'!K23</f>
        <v>1121.28</v>
      </c>
    </row>
    <row r="8" ht="19.5" customHeight="1">
      <c r="A8" s="90">
        <v>3.0</v>
      </c>
      <c r="B8" s="91" t="s">
        <v>27</v>
      </c>
      <c r="C8" s="91" t="s">
        <v>68</v>
      </c>
      <c r="D8" s="90" t="s">
        <v>71</v>
      </c>
      <c r="E8" s="93" t="s">
        <v>17</v>
      </c>
      <c r="F8" s="90" t="s">
        <v>72</v>
      </c>
      <c r="G8" s="95"/>
      <c r="H8" s="96">
        <f>'Dec25 Monthly Edit-a-thon'!K23</f>
        <v>1177.05</v>
      </c>
    </row>
    <row r="9" ht="19.5" customHeight="1">
      <c r="A9" s="97">
        <v>4.0</v>
      </c>
      <c r="B9" s="98" t="s">
        <v>30</v>
      </c>
      <c r="C9" s="98" t="s">
        <v>73</v>
      </c>
      <c r="D9" s="97" t="s">
        <v>26</v>
      </c>
      <c r="E9" s="99" t="s">
        <v>17</v>
      </c>
      <c r="F9" s="97" t="s">
        <v>74</v>
      </c>
      <c r="G9" s="95"/>
      <c r="H9" s="96">
        <f>'Oct25 Wikimalkia Training'!K23</f>
        <v>1092.81</v>
      </c>
    </row>
    <row r="10" ht="19.5" customHeight="1">
      <c r="A10" s="90">
        <v>5.0</v>
      </c>
      <c r="B10" s="91" t="s">
        <v>33</v>
      </c>
      <c r="C10" s="91" t="s">
        <v>73</v>
      </c>
      <c r="D10" s="90" t="s">
        <v>34</v>
      </c>
      <c r="E10" s="93" t="s">
        <v>17</v>
      </c>
      <c r="F10" s="90" t="s">
        <v>75</v>
      </c>
      <c r="G10" s="95"/>
      <c r="H10" s="96">
        <f>'Dec25 Wikimalkia Edit-a-thon'!K23</f>
        <v>1116.9</v>
      </c>
    </row>
    <row r="11" ht="19.5" customHeight="1">
      <c r="A11" s="97">
        <v>6.0</v>
      </c>
      <c r="B11" s="98" t="s">
        <v>36</v>
      </c>
      <c r="C11" s="98" t="s">
        <v>76</v>
      </c>
      <c r="D11" s="97" t="s">
        <v>37</v>
      </c>
      <c r="E11" s="99" t="s">
        <v>17</v>
      </c>
      <c r="F11" s="97" t="s">
        <v>77</v>
      </c>
      <c r="G11" s="95"/>
      <c r="H11" s="96">
        <f>'Nov25 Error Fix Workshop'!K23</f>
        <v>1254.87</v>
      </c>
      <c r="I11" s="100" t="s">
        <v>78</v>
      </c>
    </row>
    <row r="12" ht="19.5" customHeight="1">
      <c r="A12" s="90">
        <v>7.0</v>
      </c>
      <c r="B12" s="91" t="s">
        <v>38</v>
      </c>
      <c r="C12" s="91" t="s">
        <v>76</v>
      </c>
      <c r="D12" s="90" t="s">
        <v>39</v>
      </c>
      <c r="E12" s="93" t="s">
        <v>17</v>
      </c>
      <c r="F12" s="90" t="s">
        <v>79</v>
      </c>
      <c r="G12" s="95"/>
      <c r="H12" s="96">
        <f>'Jan26 Error Fix Training'!K23</f>
        <v>1250.49</v>
      </c>
    </row>
    <row r="13" ht="19.5" customHeight="1">
      <c r="A13" s="97">
        <v>8.0</v>
      </c>
      <c r="B13" s="98" t="s">
        <v>43</v>
      </c>
      <c r="C13" s="98" t="s">
        <v>80</v>
      </c>
      <c r="D13" s="97" t="s">
        <v>44</v>
      </c>
      <c r="E13" s="99" t="s">
        <v>17</v>
      </c>
      <c r="F13" s="97" t="s">
        <v>81</v>
      </c>
      <c r="G13" s="95"/>
      <c r="H13" s="96">
        <f>'Lets Connect Event 1'!I22</f>
        <v>1414.74</v>
      </c>
    </row>
    <row r="14" ht="19.5" customHeight="1">
      <c r="A14" s="101">
        <v>9.0</v>
      </c>
      <c r="B14" s="102" t="s">
        <v>19</v>
      </c>
      <c r="C14" s="102" t="s">
        <v>68</v>
      </c>
      <c r="D14" s="101" t="s">
        <v>20</v>
      </c>
      <c r="E14" s="103" t="s">
        <v>21</v>
      </c>
      <c r="F14" s="101" t="s">
        <v>82</v>
      </c>
      <c r="G14" s="95"/>
      <c r="H14" s="96">
        <f>'Mar26 Monthly Edit-a-thon'!K23</f>
        <v>0</v>
      </c>
    </row>
    <row r="15" ht="19.5" customHeight="1">
      <c r="A15" s="101">
        <v>10.0</v>
      </c>
      <c r="B15" s="102" t="s">
        <v>22</v>
      </c>
      <c r="C15" s="102" t="s">
        <v>68</v>
      </c>
      <c r="D15" s="101" t="s">
        <v>23</v>
      </c>
      <c r="E15" s="103" t="s">
        <v>21</v>
      </c>
      <c r="F15" s="101" t="s">
        <v>83</v>
      </c>
      <c r="G15" s="95"/>
      <c r="H15" s="96">
        <f>'Apr26 Monthly Edit-a-thon'!I22</f>
        <v>0</v>
      </c>
    </row>
    <row r="16" ht="19.5" customHeight="1">
      <c r="A16" s="101">
        <v>11.0</v>
      </c>
      <c r="B16" s="102" t="s">
        <v>31</v>
      </c>
      <c r="C16" s="102" t="s">
        <v>73</v>
      </c>
      <c r="D16" s="101" t="s">
        <v>32</v>
      </c>
      <c r="E16" s="104" t="s">
        <v>17</v>
      </c>
      <c r="F16" s="101" t="s">
        <v>84</v>
      </c>
      <c r="G16" s="95"/>
      <c r="H16" s="96">
        <f>'Feb26 Wikimalkia Workshop'!K23</f>
        <v>1213.26</v>
      </c>
    </row>
    <row r="17" ht="19.5" customHeight="1">
      <c r="A17" s="101">
        <v>12.0</v>
      </c>
      <c r="B17" s="102" t="s">
        <v>46</v>
      </c>
      <c r="C17" s="102" t="s">
        <v>85</v>
      </c>
      <c r="D17" s="101" t="s">
        <v>32</v>
      </c>
      <c r="E17" s="103" t="s">
        <v>21</v>
      </c>
      <c r="F17" s="101" t="s">
        <v>86</v>
      </c>
      <c r="G17" s="95"/>
      <c r="H17" s="96">
        <f>'Feb26 Feminism Folklore'!I22</f>
        <v>0</v>
      </c>
    </row>
    <row r="18" ht="19.5" customHeight="1">
      <c r="A18" s="101"/>
      <c r="B18" s="102" t="s">
        <v>49</v>
      </c>
      <c r="C18" s="102" t="s">
        <v>49</v>
      </c>
      <c r="D18" s="101" t="s">
        <v>87</v>
      </c>
      <c r="E18" s="105" t="s">
        <v>17</v>
      </c>
      <c r="F18" s="101" t="s">
        <v>88</v>
      </c>
      <c r="G18" s="95"/>
      <c r="H18" s="96">
        <f>'Kiwix for shool-program'!I22</f>
        <v>951.74</v>
      </c>
    </row>
    <row r="19" ht="19.5" customHeight="1">
      <c r="A19" s="101">
        <v>13.0</v>
      </c>
      <c r="B19" s="102" t="s">
        <v>48</v>
      </c>
      <c r="C19" s="102" t="s">
        <v>89</v>
      </c>
      <c r="D19" s="101" t="s">
        <v>20</v>
      </c>
      <c r="E19" s="103" t="s">
        <v>21</v>
      </c>
      <c r="F19" s="101" t="s">
        <v>90</v>
      </c>
      <c r="G19" s="95"/>
      <c r="H19" s="96">
        <f>'Mar26 WCK Training'!I22</f>
        <v>0</v>
      </c>
    </row>
    <row r="20" ht="19.5" customHeight="1">
      <c r="A20" s="101">
        <v>14.0</v>
      </c>
      <c r="B20" s="102" t="s">
        <v>41</v>
      </c>
      <c r="C20" s="102" t="s">
        <v>80</v>
      </c>
      <c r="D20" s="101" t="s">
        <v>42</v>
      </c>
      <c r="E20" s="103" t="s">
        <v>21</v>
      </c>
      <c r="F20" s="101" t="s">
        <v>91</v>
      </c>
      <c r="G20" s="95"/>
      <c r="H20" s="96">
        <f>'Lets Connect Event 2'!I22</f>
        <v>0</v>
      </c>
    </row>
    <row r="21" ht="27.75" customHeight="1">
      <c r="A21" s="101"/>
      <c r="B21" s="102"/>
      <c r="C21" s="101"/>
      <c r="D21" s="101"/>
      <c r="E21" s="101"/>
      <c r="F21" s="101"/>
      <c r="G21" s="95"/>
      <c r="H21" s="96" t="str">
        <f>'Aug25 Monthly Edit-a-thon'!K37</f>
        <v/>
      </c>
    </row>
    <row r="22" ht="15.75" customHeight="1">
      <c r="A22" s="86" t="s">
        <v>92</v>
      </c>
      <c r="B22" s="45"/>
      <c r="C22" s="45"/>
      <c r="D22" s="45"/>
      <c r="E22" s="45"/>
      <c r="F22" s="46"/>
      <c r="G22" s="106"/>
      <c r="H22" s="106">
        <f>Sum(H5:H20)</f>
        <v>12916.292</v>
      </c>
    </row>
    <row r="23" ht="15.75" customHeight="1">
      <c r="A23" s="107" t="s">
        <v>93</v>
      </c>
      <c r="B23" s="4"/>
      <c r="C23" s="4"/>
      <c r="D23" s="4"/>
      <c r="E23" s="4"/>
      <c r="F23" s="4"/>
      <c r="G23" s="4"/>
      <c r="H23" s="4"/>
    </row>
    <row r="24" ht="24.0" customHeight="1">
      <c r="A24" s="4"/>
    </row>
    <row r="25" ht="21.75" customHeight="1">
      <c r="A25" s="108" t="s">
        <v>94</v>
      </c>
      <c r="B25" s="45"/>
      <c r="C25" s="45"/>
      <c r="D25" s="45"/>
      <c r="E25" s="45"/>
      <c r="F25" s="46"/>
      <c r="G25" s="85"/>
      <c r="H25" s="85"/>
    </row>
    <row r="26" ht="19.5" customHeight="1">
      <c r="A26" s="109" t="s">
        <v>65</v>
      </c>
      <c r="B26" s="45"/>
      <c r="C26" s="45"/>
      <c r="D26" s="45"/>
      <c r="E26" s="45"/>
      <c r="F26" s="46"/>
      <c r="G26" s="89" t="s">
        <v>95</v>
      </c>
      <c r="H26" s="89" t="s">
        <v>96</v>
      </c>
    </row>
    <row r="27" ht="19.5" customHeight="1">
      <c r="A27" s="110" t="s">
        <v>97</v>
      </c>
      <c r="B27" s="45"/>
      <c r="C27" s="45"/>
      <c r="D27" s="45"/>
      <c r="E27" s="45"/>
      <c r="F27" s="46"/>
      <c r="G27" s="111">
        <f t="shared" ref="G27:G32" si="1">G8+G9+G15</f>
        <v>0</v>
      </c>
      <c r="H27" s="112">
        <f t="shared" ref="H27:H32" si="2">H7+H8+H14</f>
        <v>2298.33</v>
      </c>
    </row>
    <row r="28" ht="19.5" customHeight="1">
      <c r="A28" s="113" t="s">
        <v>73</v>
      </c>
      <c r="B28" s="45"/>
      <c r="C28" s="45"/>
      <c r="D28" s="45"/>
      <c r="E28" s="45"/>
      <c r="F28" s="46"/>
      <c r="G28" s="111">
        <f t="shared" si="1"/>
        <v>0</v>
      </c>
      <c r="H28" s="112">
        <f t="shared" si="2"/>
        <v>2269.86</v>
      </c>
    </row>
    <row r="29" ht="19.5" customHeight="1">
      <c r="A29" s="110" t="s">
        <v>76</v>
      </c>
      <c r="B29" s="45"/>
      <c r="C29" s="45"/>
      <c r="D29" s="45"/>
      <c r="E29" s="45"/>
      <c r="F29" s="46"/>
      <c r="G29" s="111">
        <f t="shared" si="1"/>
        <v>0</v>
      </c>
      <c r="H29" s="112">
        <f t="shared" si="2"/>
        <v>3422.97</v>
      </c>
    </row>
    <row r="30" ht="19.5" customHeight="1">
      <c r="A30" s="113" t="s">
        <v>85</v>
      </c>
      <c r="B30" s="45"/>
      <c r="C30" s="45"/>
      <c r="D30" s="45"/>
      <c r="E30" s="45"/>
      <c r="F30" s="46"/>
      <c r="G30" s="111">
        <f t="shared" si="1"/>
        <v>0</v>
      </c>
      <c r="H30" s="112">
        <f t="shared" si="2"/>
        <v>2371.77</v>
      </c>
    </row>
    <row r="31" ht="19.5" customHeight="1">
      <c r="A31" s="110" t="s">
        <v>89</v>
      </c>
      <c r="B31" s="45"/>
      <c r="C31" s="45"/>
      <c r="D31" s="45"/>
      <c r="E31" s="45"/>
      <c r="F31" s="46"/>
      <c r="G31" s="111">
        <f t="shared" si="1"/>
        <v>0</v>
      </c>
      <c r="H31" s="112">
        <f t="shared" si="2"/>
        <v>3457.1</v>
      </c>
    </row>
    <row r="32" ht="19.5" customHeight="1">
      <c r="A32" s="113" t="s">
        <v>98</v>
      </c>
      <c r="B32" s="45"/>
      <c r="C32" s="45"/>
      <c r="D32" s="45"/>
      <c r="E32" s="45"/>
      <c r="F32" s="46"/>
      <c r="G32" s="111">
        <f t="shared" si="1"/>
        <v>0</v>
      </c>
      <c r="H32" s="112">
        <f t="shared" si="2"/>
        <v>2665.23</v>
      </c>
    </row>
    <row r="33" ht="19.5" customHeight="1">
      <c r="A33" s="114" t="s">
        <v>99</v>
      </c>
      <c r="B33" s="45"/>
      <c r="C33" s="45"/>
      <c r="D33" s="45"/>
      <c r="E33" s="45"/>
      <c r="F33" s="46"/>
      <c r="G33" s="111">
        <f>'💰 Salary &amp; Stipend'!P14</f>
        <v>13533100</v>
      </c>
      <c r="H33" s="112">
        <f>'💰 Salary &amp; Stipend'!R14</f>
        <v>5599.99678</v>
      </c>
    </row>
    <row r="34" ht="15.75" customHeight="1">
      <c r="A34" s="115" t="s">
        <v>100</v>
      </c>
      <c r="B34" s="45"/>
      <c r="C34" s="45"/>
      <c r="D34" s="45"/>
      <c r="E34" s="45"/>
      <c r="F34" s="46"/>
      <c r="G34" s="111">
        <f>'🗂️ Administrative Costs'!E41</f>
        <v>0</v>
      </c>
      <c r="H34" s="116">
        <f>'🗂️ Administrative Costs'!I41</f>
        <v>0</v>
      </c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8:F28"/>
    <mergeCell ref="A29:F29"/>
    <mergeCell ref="A30:F30"/>
    <mergeCell ref="A31:F31"/>
    <mergeCell ref="A32:F32"/>
    <mergeCell ref="A33:F33"/>
    <mergeCell ref="A34:F34"/>
    <mergeCell ref="A1:F1"/>
    <mergeCell ref="A2:F2"/>
    <mergeCell ref="A22:F22"/>
    <mergeCell ref="A24:H24"/>
    <mergeCell ref="A25:F25"/>
    <mergeCell ref="A26:F26"/>
    <mergeCell ref="A27:F27"/>
  </mergeCells>
  <hyperlinks>
    <hyperlink display="◀  BACK TO DASHBOARD" location="'🏠 Dashboard'!A1" ref="A1"/>
  </hyperlink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51.0"/>
    <col customWidth="1" min="3" max="3" width="59.0"/>
    <col customWidth="1" min="4" max="5" width="42.0"/>
    <col customWidth="1" min="6" max="6" width="39.57"/>
    <col customWidth="1" min="7" max="8" width="15.57"/>
    <col customWidth="1" min="9" max="9" width="36.29"/>
    <col customWidth="1" min="10" max="10" width="29.71"/>
    <col customWidth="1" min="11" max="11" width="26.57"/>
  </cols>
  <sheetData>
    <row r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>
      <c r="A3" s="122" t="s">
        <v>103</v>
      </c>
      <c r="B3" s="118"/>
      <c r="C3" s="119"/>
      <c r="D3" s="123"/>
      <c r="E3" s="124" t="s">
        <v>68</v>
      </c>
      <c r="F3" s="118"/>
      <c r="G3" s="118"/>
      <c r="H3" s="118"/>
      <c r="I3" s="118"/>
      <c r="J3" s="118"/>
      <c r="K3" s="119"/>
    </row>
    <row r="4">
      <c r="A4" s="122" t="s">
        <v>8</v>
      </c>
      <c r="B4" s="118"/>
      <c r="C4" s="119"/>
      <c r="D4" s="123"/>
      <c r="E4" s="124" t="s">
        <v>15</v>
      </c>
      <c r="F4" s="118"/>
      <c r="G4" s="119"/>
      <c r="H4" s="125"/>
      <c r="I4" s="4"/>
      <c r="K4" s="4"/>
    </row>
    <row r="5">
      <c r="A5" s="122" t="s">
        <v>104</v>
      </c>
      <c r="B5" s="118"/>
      <c r="C5" s="119"/>
      <c r="D5" s="123"/>
      <c r="E5" s="124" t="s">
        <v>16</v>
      </c>
      <c r="F5" s="118"/>
      <c r="G5" s="119"/>
      <c r="H5" s="123"/>
      <c r="I5" s="126" t="s">
        <v>10</v>
      </c>
      <c r="J5" s="119"/>
      <c r="K5" s="127" t="s">
        <v>17</v>
      </c>
    </row>
    <row r="6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>
      <c r="A8" s="4"/>
      <c r="D8" s="4"/>
      <c r="E8" s="4"/>
      <c r="H8" s="4"/>
      <c r="I8" s="4"/>
    </row>
    <row r="9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>
      <c r="A11" s="4"/>
      <c r="D11" s="4"/>
      <c r="E11" s="4"/>
    </row>
    <row r="12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>
      <c r="A14" s="137" t="s">
        <v>113</v>
      </c>
      <c r="B14" s="119"/>
      <c r="C14" s="22" t="s">
        <v>114</v>
      </c>
      <c r="D14" s="22" t="s">
        <v>115</v>
      </c>
      <c r="E14" s="22" t="s">
        <v>116</v>
      </c>
      <c r="F14" s="22" t="s">
        <v>117</v>
      </c>
      <c r="G14" s="22" t="s">
        <v>118</v>
      </c>
      <c r="H14" s="22" t="s">
        <v>119</v>
      </c>
      <c r="I14" s="22" t="s">
        <v>120</v>
      </c>
      <c r="J14" s="22" t="s">
        <v>121</v>
      </c>
      <c r="K14" s="22" t="s">
        <v>122</v>
      </c>
    </row>
    <row r="15">
      <c r="A15" s="138" t="s">
        <v>123</v>
      </c>
      <c r="B15" s="119"/>
      <c r="C15" s="123" t="s">
        <v>124</v>
      </c>
      <c r="D15" s="139">
        <v>8000.0</v>
      </c>
      <c r="E15" s="139">
        <f t="shared" ref="E15:E22" si="1">H15*D15</f>
        <v>240000</v>
      </c>
      <c r="F15" s="140" t="s">
        <v>105</v>
      </c>
      <c r="G15" s="141"/>
      <c r="H15" s="141">
        <v>30.0</v>
      </c>
      <c r="I15" s="142" t="s">
        <v>125</v>
      </c>
      <c r="J15" s="143">
        <f>$E10</f>
        <v>0.000438</v>
      </c>
      <c r="K15" s="144">
        <f>IF(E15="",0,E15*$E10)</f>
        <v>105.12</v>
      </c>
    </row>
    <row r="16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810000</v>
      </c>
      <c r="F16" s="146" t="s">
        <v>126</v>
      </c>
      <c r="G16" s="147"/>
      <c r="H16" s="147">
        <v>30.0</v>
      </c>
      <c r="I16" s="148" t="s">
        <v>125</v>
      </c>
      <c r="J16" s="149">
        <f>$E10</f>
        <v>0.000438</v>
      </c>
      <c r="K16" s="150">
        <f>IF(E16="",0,E16*$E10)</f>
        <v>354.78</v>
      </c>
    </row>
    <row r="17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810000</v>
      </c>
      <c r="F17" s="140" t="s">
        <v>130</v>
      </c>
      <c r="G17" s="141"/>
      <c r="H17" s="141">
        <v>30.0</v>
      </c>
      <c r="I17" s="142" t="s">
        <v>125</v>
      </c>
      <c r="J17" s="143">
        <f>$E10</f>
        <v>0.000438</v>
      </c>
      <c r="K17" s="144">
        <f>IF(E17="",0,E17*$E10)</f>
        <v>354.78</v>
      </c>
    </row>
    <row r="18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0.000438</v>
      </c>
      <c r="K18" s="150">
        <f>IF(E18="",0,E18*$E10)</f>
        <v>131.4</v>
      </c>
    </row>
    <row r="19">
      <c r="A19" s="138" t="s">
        <v>134</v>
      </c>
      <c r="B19" s="119"/>
      <c r="C19" s="151" t="s">
        <v>135</v>
      </c>
      <c r="D19" s="139">
        <v>250000.0</v>
      </c>
      <c r="E19" s="139">
        <f t="shared" si="1"/>
        <v>250000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109.5</v>
      </c>
    </row>
    <row r="20">
      <c r="A20" s="138" t="s">
        <v>137</v>
      </c>
      <c r="B20" s="119"/>
      <c r="C20" s="123" t="s">
        <v>138</v>
      </c>
      <c r="D20" s="139">
        <v>200000.0</v>
      </c>
      <c r="E20" s="139">
        <f t="shared" si="1"/>
        <v>200000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87.6</v>
      </c>
    </row>
    <row r="21" ht="15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15.7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54"/>
      <c r="J22" s="154"/>
      <c r="K22" s="156"/>
    </row>
    <row r="23" ht="15.75" customHeight="1">
      <c r="A23" s="157" t="s">
        <v>143</v>
      </c>
      <c r="B23" s="118"/>
      <c r="C23" s="119"/>
      <c r="D23" s="158"/>
      <c r="E23" s="158">
        <f>SUM(E15:E22)</f>
        <v>2710000</v>
      </c>
      <c r="F23" s="159" t="s">
        <v>144</v>
      </c>
      <c r="G23" s="160"/>
      <c r="H23" s="160"/>
      <c r="I23" s="160"/>
      <c r="J23" s="160"/>
      <c r="K23" s="158">
        <f>SUM(K15:K22)</f>
        <v>1173.84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6.0" topLeftCell="A17" activePane="bottomLeft" state="frozen"/>
      <selection activeCell="B18" sqref="B18" pane="bottomLeft"/>
    </sheetView>
  </sheetViews>
  <sheetFormatPr customHeight="1" defaultColWidth="14.43" defaultRowHeight="15.0"/>
  <cols>
    <col customWidth="1" min="1" max="1" width="18.0"/>
    <col customWidth="1" min="2" max="2" width="44.71"/>
    <col customWidth="1" min="3" max="3" width="51.14"/>
    <col customWidth="1" min="4" max="5" width="35.14"/>
    <col customWidth="1" min="6" max="6" width="35.29"/>
    <col customWidth="1" min="7" max="8" width="16.29"/>
    <col customWidth="1" min="9" max="9" width="38.29"/>
    <col customWidth="1" min="10" max="10" width="18.0"/>
    <col customWidth="1" min="11" max="11" width="20.0"/>
  </cols>
  <sheetData>
    <row r="1" ht="30.0" customHeight="1">
      <c r="A1" s="161"/>
      <c r="B1" s="118"/>
      <c r="C1" s="118"/>
      <c r="D1" s="118"/>
      <c r="E1" s="118"/>
      <c r="F1" s="118"/>
      <c r="G1" s="118"/>
      <c r="H1" s="118"/>
      <c r="I1" s="118"/>
      <c r="J1" s="118"/>
      <c r="K1" s="119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68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15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16</v>
      </c>
      <c r="F5" s="118"/>
      <c r="G5" s="119"/>
      <c r="H5" s="123"/>
      <c r="I5" s="126" t="s">
        <v>10</v>
      </c>
      <c r="J5" s="119"/>
      <c r="K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46.5" customHeight="1">
      <c r="A14" s="137" t="s">
        <v>113</v>
      </c>
      <c r="B14" s="119"/>
      <c r="C14" s="22" t="s">
        <v>114</v>
      </c>
      <c r="D14" s="22" t="s">
        <v>146</v>
      </c>
      <c r="E14" s="22" t="s">
        <v>116</v>
      </c>
      <c r="F14" s="22" t="s">
        <v>117</v>
      </c>
      <c r="G14" s="22" t="s">
        <v>118</v>
      </c>
      <c r="H14" s="22" t="s">
        <v>119</v>
      </c>
      <c r="I14" s="22" t="s">
        <v>120</v>
      </c>
      <c r="J14" s="22" t="s">
        <v>121</v>
      </c>
      <c r="K14" s="22" t="s">
        <v>122</v>
      </c>
    </row>
    <row r="15" ht="21.75" customHeight="1">
      <c r="A15" s="145" t="s">
        <v>126</v>
      </c>
      <c r="B15" s="119"/>
      <c r="C15" s="123" t="s">
        <v>127</v>
      </c>
      <c r="D15" s="139">
        <v>27000.0</v>
      </c>
      <c r="E15" s="139">
        <f t="shared" ref="E15:E22" si="1">D15*H15</f>
        <v>864000</v>
      </c>
      <c r="F15" s="146" t="s">
        <v>126</v>
      </c>
      <c r="G15" s="147"/>
      <c r="H15" s="162">
        <v>32.0</v>
      </c>
      <c r="I15" s="148" t="s">
        <v>125</v>
      </c>
      <c r="J15" s="149">
        <f>$E10</f>
        <v>0.000438</v>
      </c>
      <c r="K15" s="150">
        <f>IF(E15="",0,E15*$E10)</f>
        <v>378.432</v>
      </c>
    </row>
    <row r="16">
      <c r="A16" s="163" t="s">
        <v>123</v>
      </c>
      <c r="B16" s="119"/>
      <c r="C16" s="123" t="s">
        <v>124</v>
      </c>
      <c r="D16" s="139">
        <v>8000.0</v>
      </c>
      <c r="E16" s="139">
        <f t="shared" si="1"/>
        <v>256000</v>
      </c>
      <c r="F16" s="140" t="s">
        <v>105</v>
      </c>
      <c r="G16" s="141"/>
      <c r="H16" s="141">
        <v>32.0</v>
      </c>
      <c r="I16" s="142" t="s">
        <v>125</v>
      </c>
      <c r="J16" s="143">
        <f>$E10</f>
        <v>0.000438</v>
      </c>
      <c r="K16" s="144">
        <f>IF(E16="",0,E16*$E10)</f>
        <v>112.128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864000</v>
      </c>
      <c r="F17" s="140" t="s">
        <v>130</v>
      </c>
      <c r="G17" s="141"/>
      <c r="H17" s="141">
        <v>32.0</v>
      </c>
      <c r="I17" s="142" t="s">
        <v>125</v>
      </c>
      <c r="J17" s="143">
        <f>$E10</f>
        <v>0.000438</v>
      </c>
      <c r="K17" s="144">
        <f>IF(E17="",0,E17*$E10)</f>
        <v>378.432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0.000438</v>
      </c>
      <c r="K18" s="150">
        <f>IF(E18="",0,E18*$E10)</f>
        <v>131.4</v>
      </c>
    </row>
    <row r="19" ht="37.5" customHeight="1">
      <c r="A19" s="138" t="s">
        <v>134</v>
      </c>
      <c r="B19" s="119"/>
      <c r="C19" s="151" t="s">
        <v>135</v>
      </c>
      <c r="D19" s="139">
        <v>200000.0</v>
      </c>
      <c r="E19" s="139">
        <f t="shared" si="1"/>
        <v>200000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87.6</v>
      </c>
    </row>
    <row r="20" ht="21.75" customHeight="1">
      <c r="A20" s="138" t="s">
        <v>137</v>
      </c>
      <c r="B20" s="119"/>
      <c r="C20" s="123" t="s">
        <v>138</v>
      </c>
      <c r="D20" s="139">
        <v>40000.0</v>
      </c>
      <c r="E20" s="139">
        <f t="shared" si="1"/>
        <v>40000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17.52</v>
      </c>
    </row>
    <row r="21" ht="21.75" customHeight="1">
      <c r="A21" s="145" t="s">
        <v>140</v>
      </c>
      <c r="B21" s="152"/>
      <c r="C21" s="164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21.75" customHeight="1">
      <c r="A22" s="138" t="s">
        <v>142</v>
      </c>
      <c r="B22" s="118"/>
      <c r="C22" s="165" t="s">
        <v>142</v>
      </c>
      <c r="D22" s="153">
        <v>30000.0</v>
      </c>
      <c r="E22" s="139">
        <f t="shared" si="1"/>
        <v>30000</v>
      </c>
      <c r="F22" s="154"/>
      <c r="G22" s="154"/>
      <c r="H22" s="166">
        <v>1.0</v>
      </c>
      <c r="I22" s="148" t="s">
        <v>125</v>
      </c>
      <c r="J22" s="149">
        <f>$E10</f>
        <v>0.000438</v>
      </c>
      <c r="K22" s="150">
        <f>IF(E22="",0,E22*$E10)</f>
        <v>13.14</v>
      </c>
    </row>
    <row r="23" ht="25.5" customHeight="1">
      <c r="A23" s="157" t="s">
        <v>143</v>
      </c>
      <c r="B23" s="118"/>
      <c r="C23" s="119"/>
      <c r="D23" s="158"/>
      <c r="E23" s="158">
        <f>SUM(E16:E22)</f>
        <v>1760000</v>
      </c>
      <c r="F23" s="159" t="s">
        <v>144</v>
      </c>
      <c r="G23" s="160"/>
      <c r="H23" s="160"/>
      <c r="I23" s="160"/>
      <c r="J23" s="160"/>
      <c r="K23" s="158">
        <f>SUM(K15:K22)</f>
        <v>1149.312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35.71"/>
    <col customWidth="1" min="2" max="2" width="43.29"/>
    <col customWidth="1" min="3" max="3" width="45.29"/>
    <col customWidth="1" min="4" max="5" width="30.29"/>
    <col customWidth="1" min="6" max="6" width="27.43"/>
    <col customWidth="1" min="7" max="8" width="12.14"/>
    <col customWidth="1" min="9" max="9" width="34.71"/>
    <col customWidth="1" min="10" max="10" width="21.86"/>
    <col customWidth="1" min="11" max="11" width="26.86"/>
  </cols>
  <sheetData>
    <row r="1" ht="30.0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68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25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26</v>
      </c>
      <c r="F5" s="118"/>
      <c r="G5" s="119"/>
      <c r="H5" s="123"/>
      <c r="I5" s="126" t="s">
        <v>10</v>
      </c>
      <c r="J5" s="119"/>
      <c r="K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46.5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8000.0</v>
      </c>
      <c r="E15" s="139">
        <f t="shared" ref="E15:E22" si="1">H15*D15</f>
        <v>240000</v>
      </c>
      <c r="F15" s="140" t="s">
        <v>105</v>
      </c>
      <c r="G15" s="141"/>
      <c r="H15" s="141">
        <v>30.0</v>
      </c>
      <c r="I15" s="142" t="s">
        <v>125</v>
      </c>
      <c r="J15" s="143">
        <f>$E10</f>
        <v>0.000438</v>
      </c>
      <c r="K15" s="144">
        <f>IF(E15="",0,E15*$E10)</f>
        <v>105.12</v>
      </c>
    </row>
    <row r="16" ht="21.75" customHeight="1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810000</v>
      </c>
      <c r="F16" s="146" t="s">
        <v>126</v>
      </c>
      <c r="G16" s="147"/>
      <c r="H16" s="147">
        <v>30.0</v>
      </c>
      <c r="I16" s="148" t="s">
        <v>125</v>
      </c>
      <c r="J16" s="149">
        <f>$E10</f>
        <v>0.000438</v>
      </c>
      <c r="K16" s="150">
        <f>IF(E16="",0,E16*$E10)</f>
        <v>354.78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810000</v>
      </c>
      <c r="F17" s="140" t="s">
        <v>130</v>
      </c>
      <c r="G17" s="141"/>
      <c r="H17" s="141">
        <v>30.0</v>
      </c>
      <c r="I17" s="142" t="s">
        <v>125</v>
      </c>
      <c r="J17" s="143">
        <f>$E10</f>
        <v>0.000438</v>
      </c>
      <c r="K17" s="144">
        <f>IF(E17="",0,E17*$E10)</f>
        <v>354.78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0.000438</v>
      </c>
      <c r="K18" s="150">
        <f>IF(E18="",0,E18*$E10)</f>
        <v>131.4</v>
      </c>
    </row>
    <row r="19" ht="21.75" customHeight="1">
      <c r="A19" s="138" t="s">
        <v>134</v>
      </c>
      <c r="B19" s="119"/>
      <c r="C19" s="151" t="s">
        <v>135</v>
      </c>
      <c r="D19" s="139">
        <v>250000.0</v>
      </c>
      <c r="E19" s="139">
        <f t="shared" si="1"/>
        <v>250000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109.5</v>
      </c>
    </row>
    <row r="20" ht="21.75" customHeight="1">
      <c r="A20" s="138" t="s">
        <v>137</v>
      </c>
      <c r="B20" s="119"/>
      <c r="C20" s="123" t="s">
        <v>138</v>
      </c>
      <c r="D20" s="139">
        <v>50000.0</v>
      </c>
      <c r="E20" s="139">
        <f t="shared" si="1"/>
        <v>50000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21.9</v>
      </c>
    </row>
    <row r="21" ht="21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25.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48" t="s">
        <v>125</v>
      </c>
      <c r="J22" s="149">
        <f>$E10</f>
        <v>0.000438</v>
      </c>
      <c r="K22" s="150">
        <f>IF(E22="",0,E22*$E10)</f>
        <v>13.14</v>
      </c>
    </row>
    <row r="23" ht="15.75" customHeight="1">
      <c r="A23" s="157" t="s">
        <v>143</v>
      </c>
      <c r="B23" s="118"/>
      <c r="C23" s="119"/>
      <c r="D23" s="158"/>
      <c r="E23" s="158">
        <f>SUM(E15:E22)</f>
        <v>2560000</v>
      </c>
      <c r="F23" s="159" t="s">
        <v>144</v>
      </c>
      <c r="G23" s="160"/>
      <c r="H23" s="160"/>
      <c r="I23" s="160"/>
      <c r="J23" s="160"/>
      <c r="K23" s="158">
        <f>SUM(K15:K22)</f>
        <v>1121.28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51.29"/>
    <col customWidth="1" min="3" max="3" width="50.29"/>
    <col customWidth="1" min="4" max="5" width="32.0"/>
    <col customWidth="1" min="6" max="6" width="33.71"/>
    <col customWidth="1" min="7" max="8" width="21.86"/>
    <col customWidth="1" min="9" max="9" width="37.29"/>
    <col customWidth="1" min="10" max="10" width="18.0"/>
    <col customWidth="1" min="11" max="11" width="26.0"/>
  </cols>
  <sheetData>
    <row r="1" ht="30.0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68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27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28</v>
      </c>
      <c r="F5" s="118"/>
      <c r="G5" s="119"/>
      <c r="H5" s="123"/>
      <c r="I5" s="126" t="s">
        <v>10</v>
      </c>
      <c r="J5" s="119"/>
      <c r="K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4.13E-4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30.0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8000.0</v>
      </c>
      <c r="E15" s="139">
        <f t="shared" ref="E15:E22" si="1">H15*D15</f>
        <v>280000</v>
      </c>
      <c r="F15" s="140" t="s">
        <v>105</v>
      </c>
      <c r="G15" s="141"/>
      <c r="H15" s="141">
        <v>35.0</v>
      </c>
      <c r="I15" s="142" t="s">
        <v>125</v>
      </c>
      <c r="J15" s="143">
        <f>$E10</f>
        <v>0.000413</v>
      </c>
      <c r="K15" s="144">
        <f>IF(E15="",0,E15*$E10)</f>
        <v>115.64</v>
      </c>
    </row>
    <row r="16" ht="21.75" customHeight="1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945000</v>
      </c>
      <c r="F16" s="146" t="s">
        <v>126</v>
      </c>
      <c r="G16" s="147"/>
      <c r="H16" s="147">
        <v>35.0</v>
      </c>
      <c r="I16" s="148" t="s">
        <v>125</v>
      </c>
      <c r="J16" s="149">
        <f>$E10</f>
        <v>0.000413</v>
      </c>
      <c r="K16" s="150">
        <f>IF(E16="",0,E16*$E10)</f>
        <v>390.285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945000</v>
      </c>
      <c r="F17" s="140" t="s">
        <v>130</v>
      </c>
      <c r="G17" s="141"/>
      <c r="H17" s="141">
        <v>35.0</v>
      </c>
      <c r="I17" s="142" t="s">
        <v>125</v>
      </c>
      <c r="J17" s="143">
        <f>$E10</f>
        <v>0.000413</v>
      </c>
      <c r="K17" s="144">
        <f>IF(E17="",0,E17*$E10)</f>
        <v>390.285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0.000413</v>
      </c>
      <c r="K18" s="150">
        <f>IF(E18="",0,E18*$E10)</f>
        <v>123.9</v>
      </c>
    </row>
    <row r="19" ht="21.75" customHeight="1">
      <c r="A19" s="138" t="s">
        <v>134</v>
      </c>
      <c r="B19" s="119"/>
      <c r="C19" s="151" t="s">
        <v>135</v>
      </c>
      <c r="D19" s="139">
        <v>250000.0</v>
      </c>
      <c r="E19" s="139">
        <f t="shared" si="1"/>
        <v>250000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0.000413</v>
      </c>
      <c r="K19" s="150">
        <f>IF(E19="",0,E19*$E10)</f>
        <v>103.25</v>
      </c>
    </row>
    <row r="20" ht="21.75" customHeight="1">
      <c r="A20" s="138" t="s">
        <v>137</v>
      </c>
      <c r="B20" s="119"/>
      <c r="C20" s="123" t="s">
        <v>138</v>
      </c>
      <c r="D20" s="139">
        <v>30000.0</v>
      </c>
      <c r="E20" s="139">
        <f t="shared" si="1"/>
        <v>30000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0.000413</v>
      </c>
      <c r="K20" s="144">
        <f>IF(E20="",0,E20*$E10)</f>
        <v>12.39</v>
      </c>
    </row>
    <row r="21" ht="21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0.000413</v>
      </c>
      <c r="K21" s="150">
        <f>IF(E21="",0,E21*$E10)</f>
        <v>28.91</v>
      </c>
    </row>
    <row r="22" ht="25.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48" t="s">
        <v>125</v>
      </c>
      <c r="J22" s="149">
        <f>$E10</f>
        <v>0.000413</v>
      </c>
      <c r="K22" s="150">
        <f>IF(E22="",0,E22*$E10)</f>
        <v>12.39</v>
      </c>
    </row>
    <row r="23" ht="25.5" customHeight="1">
      <c r="A23" s="157" t="s">
        <v>143</v>
      </c>
      <c r="B23" s="118"/>
      <c r="C23" s="119"/>
      <c r="D23" s="158"/>
      <c r="E23" s="158">
        <f>SUM(E15:E22)</f>
        <v>2850000</v>
      </c>
      <c r="F23" s="159" t="s">
        <v>144</v>
      </c>
      <c r="G23" s="160"/>
      <c r="H23" s="160"/>
      <c r="I23" s="160"/>
      <c r="J23" s="160"/>
      <c r="K23" s="158">
        <f>SUM(K15:K22)</f>
        <v>1177.05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47.71"/>
    <col customWidth="1" min="3" max="3" width="53.43"/>
    <col customWidth="1" min="4" max="5" width="38.29"/>
    <col customWidth="1" min="6" max="6" width="28.29"/>
    <col customWidth="1" min="7" max="8" width="18.86"/>
    <col customWidth="1" min="9" max="9" width="34.71"/>
    <col customWidth="1" min="10" max="10" width="18.0"/>
    <col customWidth="1" min="11" max="11" width="33.71"/>
  </cols>
  <sheetData>
    <row r="1" ht="30.0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73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30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26</v>
      </c>
      <c r="F5" s="118"/>
      <c r="G5" s="119"/>
      <c r="H5" s="123"/>
      <c r="I5" s="126" t="s">
        <v>10</v>
      </c>
      <c r="J5" s="119"/>
      <c r="K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30.0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8000.0</v>
      </c>
      <c r="E15" s="139">
        <f t="shared" ref="E15:E22" si="1">H15*D15</f>
        <v>240000</v>
      </c>
      <c r="F15" s="140" t="s">
        <v>105</v>
      </c>
      <c r="G15" s="141"/>
      <c r="H15" s="141">
        <v>30.0</v>
      </c>
      <c r="I15" s="142" t="s">
        <v>125</v>
      </c>
      <c r="J15" s="143">
        <f>$E10</f>
        <v>0.000438</v>
      </c>
      <c r="K15" s="144">
        <f>IF(E15="",0,E15*$E10)</f>
        <v>105.12</v>
      </c>
    </row>
    <row r="16" ht="21.75" customHeight="1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810000</v>
      </c>
      <c r="F16" s="146" t="s">
        <v>126</v>
      </c>
      <c r="G16" s="147"/>
      <c r="H16" s="147">
        <v>30.0</v>
      </c>
      <c r="I16" s="148" t="s">
        <v>125</v>
      </c>
      <c r="J16" s="149">
        <f>$E10</f>
        <v>0.000438</v>
      </c>
      <c r="K16" s="150">
        <f>IF(E16="",0,E16*$E10)</f>
        <v>354.78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810000</v>
      </c>
      <c r="F17" s="140" t="s">
        <v>130</v>
      </c>
      <c r="G17" s="141"/>
      <c r="H17" s="141">
        <v>30.0</v>
      </c>
      <c r="I17" s="142" t="s">
        <v>125</v>
      </c>
      <c r="J17" s="143">
        <f>$E10</f>
        <v>0.000438</v>
      </c>
      <c r="K17" s="144">
        <f>IF(E17="",0,E17*$E10)</f>
        <v>354.78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0.000438</v>
      </c>
      <c r="K18" s="150">
        <f>IF(E18="",0,E18*$E10)</f>
        <v>131.4</v>
      </c>
    </row>
    <row r="19" ht="21.75" customHeight="1">
      <c r="A19" s="138" t="s">
        <v>134</v>
      </c>
      <c r="B19" s="119"/>
      <c r="C19" s="151" t="s">
        <v>135</v>
      </c>
      <c r="D19" s="139">
        <v>200000.0</v>
      </c>
      <c r="E19" s="139">
        <f t="shared" si="1"/>
        <v>200000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87.6</v>
      </c>
    </row>
    <row r="20" ht="21.75" customHeight="1">
      <c r="A20" s="138" t="s">
        <v>137</v>
      </c>
      <c r="B20" s="119"/>
      <c r="C20" s="123" t="s">
        <v>138</v>
      </c>
      <c r="D20" s="139">
        <v>35000.0</v>
      </c>
      <c r="E20" s="139">
        <f t="shared" si="1"/>
        <v>35000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15.33</v>
      </c>
    </row>
    <row r="21" ht="21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25.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54"/>
      <c r="J22" s="149">
        <f>$E10</f>
        <v>0.000438</v>
      </c>
      <c r="K22" s="150">
        <f>IF(E22="",0,E22*$E10)</f>
        <v>13.14</v>
      </c>
    </row>
    <row r="23" ht="25.5" customHeight="1">
      <c r="A23" s="157" t="s">
        <v>143</v>
      </c>
      <c r="B23" s="118"/>
      <c r="C23" s="119"/>
      <c r="D23" s="158"/>
      <c r="E23" s="158">
        <f>SUM(E15:E22)</f>
        <v>2495000</v>
      </c>
      <c r="F23" s="159" t="s">
        <v>144</v>
      </c>
      <c r="G23" s="160"/>
      <c r="H23" s="160"/>
      <c r="I23" s="160"/>
      <c r="J23" s="160"/>
      <c r="K23" s="158">
        <f>SUM(K15:K22)</f>
        <v>1092.81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45.86"/>
    <col customWidth="1" min="3" max="3" width="45.43"/>
    <col customWidth="1" min="4" max="5" width="33.29"/>
    <col customWidth="1" min="6" max="6" width="37.29"/>
    <col customWidth="1" min="7" max="8" width="18.14"/>
    <col customWidth="1" min="9" max="9" width="35.71"/>
    <col customWidth="1" min="10" max="10" width="27.86"/>
    <col customWidth="1" min="11" max="11" width="28.86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73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33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34</v>
      </c>
      <c r="F5" s="118"/>
      <c r="G5" s="119"/>
      <c r="H5" s="123"/>
      <c r="I5" s="126" t="s">
        <v>10</v>
      </c>
      <c r="J5" s="119"/>
      <c r="K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30.0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8000.0</v>
      </c>
      <c r="E15" s="139">
        <f t="shared" ref="E15:E22" si="1">H15*D15</f>
        <v>240000</v>
      </c>
      <c r="F15" s="140" t="s">
        <v>105</v>
      </c>
      <c r="G15" s="141"/>
      <c r="H15" s="141">
        <v>30.0</v>
      </c>
      <c r="I15" s="142" t="s">
        <v>125</v>
      </c>
      <c r="J15" s="143">
        <f>$E10</f>
        <v>0.000438</v>
      </c>
      <c r="K15" s="144">
        <f>IF(E15="",0,E15*$E10)</f>
        <v>105.12</v>
      </c>
    </row>
    <row r="16" ht="21.75" customHeight="1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810000</v>
      </c>
      <c r="F16" s="146" t="s">
        <v>126</v>
      </c>
      <c r="G16" s="147"/>
      <c r="H16" s="147">
        <v>30.0</v>
      </c>
      <c r="I16" s="148" t="s">
        <v>125</v>
      </c>
      <c r="J16" s="149">
        <f>$E10</f>
        <v>0.000438</v>
      </c>
      <c r="K16" s="150">
        <f>IF(E16="",0,E16*$E10)</f>
        <v>354.78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810000</v>
      </c>
      <c r="F17" s="140" t="s">
        <v>130</v>
      </c>
      <c r="G17" s="141"/>
      <c r="H17" s="141">
        <v>30.0</v>
      </c>
      <c r="I17" s="142" t="s">
        <v>125</v>
      </c>
      <c r="J17" s="143">
        <f>$E10</f>
        <v>0.000438</v>
      </c>
      <c r="K17" s="144">
        <f>IF(E17="",0,E17*$E10)</f>
        <v>354.78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0.000438</v>
      </c>
      <c r="K18" s="150">
        <f>IF(E18="",0,E18*$E10)</f>
        <v>131.4</v>
      </c>
    </row>
    <row r="19" ht="21.75" customHeight="1">
      <c r="A19" s="138" t="s">
        <v>134</v>
      </c>
      <c r="B19" s="119"/>
      <c r="C19" s="151" t="s">
        <v>135</v>
      </c>
      <c r="D19" s="139">
        <v>250000.0</v>
      </c>
      <c r="E19" s="139">
        <f t="shared" si="1"/>
        <v>250000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109.5</v>
      </c>
    </row>
    <row r="20" ht="21.75" customHeight="1">
      <c r="A20" s="138" t="s">
        <v>137</v>
      </c>
      <c r="B20" s="119"/>
      <c r="C20" s="123" t="s">
        <v>138</v>
      </c>
      <c r="D20" s="139">
        <v>40000.0</v>
      </c>
      <c r="E20" s="139">
        <f t="shared" si="1"/>
        <v>40000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17.52</v>
      </c>
    </row>
    <row r="21" ht="21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25.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48" t="s">
        <v>125</v>
      </c>
      <c r="J22" s="149">
        <f>$E10</f>
        <v>0.000438</v>
      </c>
      <c r="K22" s="150">
        <f>IF(E22="",0,E22*$E10)</f>
        <v>13.14</v>
      </c>
    </row>
    <row r="23" ht="25.5" customHeight="1">
      <c r="A23" s="157" t="s">
        <v>143</v>
      </c>
      <c r="B23" s="118"/>
      <c r="C23" s="119"/>
      <c r="D23" s="158"/>
      <c r="E23" s="158">
        <f>SUM(E15:E22)</f>
        <v>2550000</v>
      </c>
      <c r="F23" s="159" t="s">
        <v>144</v>
      </c>
      <c r="G23" s="160"/>
      <c r="H23" s="160"/>
      <c r="I23" s="160"/>
      <c r="J23" s="160"/>
      <c r="K23" s="158">
        <f>SUM(K15:K22)</f>
        <v>1116.9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53.86"/>
    <col customWidth="1" min="3" max="3" width="47.29"/>
    <col customWidth="1" min="4" max="5" width="33.43"/>
    <col customWidth="1" min="6" max="6" width="30.43"/>
    <col customWidth="1" min="7" max="8" width="20.43"/>
    <col customWidth="1" min="9" max="9" width="38.86"/>
    <col customWidth="1" min="10" max="10" width="26.71"/>
    <col customWidth="1" min="11" max="11" width="25.29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76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36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37</v>
      </c>
      <c r="F5" s="118"/>
      <c r="G5" s="119"/>
      <c r="H5" s="123"/>
      <c r="I5" s="126" t="s">
        <v>10</v>
      </c>
      <c r="J5" s="119"/>
      <c r="K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30.0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8000.0</v>
      </c>
      <c r="E15" s="139">
        <f t="shared" ref="E15:E22" si="1">H15*D15</f>
        <v>280000</v>
      </c>
      <c r="F15" s="140" t="s">
        <v>105</v>
      </c>
      <c r="G15" s="141"/>
      <c r="H15" s="141">
        <v>35.0</v>
      </c>
      <c r="I15" s="142" t="s">
        <v>125</v>
      </c>
      <c r="J15" s="143">
        <f>$E10</f>
        <v>0.000438</v>
      </c>
      <c r="K15" s="144">
        <f>IF(E15="",0,E15*$E10)</f>
        <v>122.64</v>
      </c>
    </row>
    <row r="16" ht="21.75" customHeight="1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945000</v>
      </c>
      <c r="F16" s="146" t="s">
        <v>126</v>
      </c>
      <c r="G16" s="147"/>
      <c r="H16" s="147">
        <v>35.0</v>
      </c>
      <c r="I16" s="148" t="s">
        <v>125</v>
      </c>
      <c r="J16" s="149">
        <f>$E10</f>
        <v>0.000438</v>
      </c>
      <c r="K16" s="150">
        <f>IF(E16="",0,E16*$E10)</f>
        <v>413.91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945000</v>
      </c>
      <c r="F17" s="140" t="s">
        <v>130</v>
      </c>
      <c r="G17" s="141"/>
      <c r="H17" s="141">
        <v>35.0</v>
      </c>
      <c r="I17" s="142" t="s">
        <v>125</v>
      </c>
      <c r="J17" s="143">
        <f>$E10</f>
        <v>0.000438</v>
      </c>
      <c r="K17" s="144">
        <f>IF(E17="",0,E17*$E10)</f>
        <v>413.91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0.000438</v>
      </c>
      <c r="K18" s="150">
        <f>IF(E18="",0,E18*$E10)</f>
        <v>131.4</v>
      </c>
    </row>
    <row r="19" ht="21.75" customHeight="1">
      <c r="A19" s="138" t="s">
        <v>134</v>
      </c>
      <c r="B19" s="119"/>
      <c r="C19" s="151" t="s">
        <v>135</v>
      </c>
      <c r="D19" s="139">
        <v>250000.0</v>
      </c>
      <c r="E19" s="139">
        <f t="shared" si="1"/>
        <v>250000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109.5</v>
      </c>
    </row>
    <row r="20" ht="21.75" customHeight="1">
      <c r="A20" s="138" t="s">
        <v>137</v>
      </c>
      <c r="B20" s="119"/>
      <c r="C20" s="123" t="s">
        <v>138</v>
      </c>
      <c r="D20" s="139">
        <v>45000.0</v>
      </c>
      <c r="E20" s="139">
        <f t="shared" si="1"/>
        <v>45000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19.71</v>
      </c>
    </row>
    <row r="21" ht="21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25.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48" t="s">
        <v>125</v>
      </c>
      <c r="J22" s="149">
        <f>$E10</f>
        <v>0.000438</v>
      </c>
      <c r="K22" s="150">
        <f>IF(E22="",0,E22*$E10)</f>
        <v>13.14</v>
      </c>
    </row>
    <row r="23" ht="25.5" customHeight="1">
      <c r="A23" s="157" t="s">
        <v>143</v>
      </c>
      <c r="B23" s="118"/>
      <c r="C23" s="119"/>
      <c r="D23" s="158"/>
      <c r="E23" s="158">
        <f>SUM(E15:E22)</f>
        <v>2865000</v>
      </c>
      <c r="F23" s="159" t="s">
        <v>144</v>
      </c>
      <c r="G23" s="160"/>
      <c r="H23" s="160"/>
      <c r="I23" s="160"/>
      <c r="J23" s="160"/>
      <c r="K23" s="158">
        <f>SUM(K15:K22)</f>
        <v>1254.87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49.29"/>
    <col customWidth="1" min="3" max="3" width="51.71"/>
    <col customWidth="1" min="4" max="4" width="34.86"/>
    <col customWidth="1" min="5" max="5" width="28.71"/>
    <col customWidth="1" min="6" max="6" width="36.43"/>
    <col customWidth="1" min="7" max="8" width="13.71"/>
    <col customWidth="1" min="9" max="9" width="36.71"/>
    <col customWidth="1" min="10" max="10" width="20.86"/>
    <col customWidth="1" min="11" max="11" width="24.29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76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38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39</v>
      </c>
      <c r="F5" s="118"/>
      <c r="G5" s="119"/>
      <c r="H5" s="123"/>
      <c r="I5" s="126" t="s">
        <v>10</v>
      </c>
      <c r="J5" s="119"/>
      <c r="K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30.0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8000.0</v>
      </c>
      <c r="E15" s="139">
        <f t="shared" ref="E15:E22" si="1">H15*D15</f>
        <v>280000</v>
      </c>
      <c r="F15" s="140" t="s">
        <v>105</v>
      </c>
      <c r="G15" s="141"/>
      <c r="H15" s="141">
        <v>35.0</v>
      </c>
      <c r="I15" s="142" t="s">
        <v>125</v>
      </c>
      <c r="J15" s="143">
        <f>$E10</f>
        <v>0.000438</v>
      </c>
      <c r="K15" s="144">
        <f>IF(E15="",0,E15*$E10)</f>
        <v>122.64</v>
      </c>
    </row>
    <row r="16" ht="21.75" customHeight="1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945000</v>
      </c>
      <c r="F16" s="146" t="s">
        <v>126</v>
      </c>
      <c r="G16" s="147"/>
      <c r="H16" s="147">
        <v>35.0</v>
      </c>
      <c r="I16" s="148" t="s">
        <v>125</v>
      </c>
      <c r="J16" s="149">
        <f>$E10</f>
        <v>0.000438</v>
      </c>
      <c r="K16" s="150">
        <f>IF(E16="",0,E16*$E10)</f>
        <v>413.91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945000</v>
      </c>
      <c r="F17" s="140" t="s">
        <v>130</v>
      </c>
      <c r="G17" s="141"/>
      <c r="H17" s="141">
        <v>35.0</v>
      </c>
      <c r="I17" s="142" t="s">
        <v>125</v>
      </c>
      <c r="J17" s="143">
        <f>$E10</f>
        <v>0.000438</v>
      </c>
      <c r="K17" s="144">
        <f>IF(E17="",0,E17*$E10)</f>
        <v>413.91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300000</v>
      </c>
      <c r="F18" s="146" t="s">
        <v>133</v>
      </c>
      <c r="G18" s="147"/>
      <c r="H18" s="147">
        <v>3.0</v>
      </c>
      <c r="I18" s="148" t="s">
        <v>125</v>
      </c>
      <c r="J18" s="149">
        <f>$E10</f>
        <v>0.000438</v>
      </c>
      <c r="K18" s="150">
        <f>IF(E18="",0,E18*$E10)</f>
        <v>131.4</v>
      </c>
    </row>
    <row r="19" ht="21.75" customHeight="1">
      <c r="A19" s="138" t="s">
        <v>134</v>
      </c>
      <c r="B19" s="119"/>
      <c r="C19" s="151" t="s">
        <v>135</v>
      </c>
      <c r="D19" s="139">
        <v>250000.0</v>
      </c>
      <c r="E19" s="139">
        <f t="shared" si="1"/>
        <v>250000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109.5</v>
      </c>
    </row>
    <row r="20" ht="21.75" customHeight="1">
      <c r="A20" s="138" t="s">
        <v>137</v>
      </c>
      <c r="B20" s="119"/>
      <c r="C20" s="123" t="s">
        <v>138</v>
      </c>
      <c r="D20" s="139">
        <v>35000.0</v>
      </c>
      <c r="E20" s="139">
        <f t="shared" si="1"/>
        <v>35000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15.33</v>
      </c>
    </row>
    <row r="21" ht="21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25.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48" t="s">
        <v>125</v>
      </c>
      <c r="J22" s="149">
        <f>$E10</f>
        <v>0.000438</v>
      </c>
      <c r="K22" s="150">
        <f>IF(E22="",0,E22*$E10)</f>
        <v>13.14</v>
      </c>
    </row>
    <row r="23" ht="25.5" customHeight="1">
      <c r="A23" s="157" t="s">
        <v>143</v>
      </c>
      <c r="B23" s="118"/>
      <c r="C23" s="119"/>
      <c r="D23" s="158"/>
      <c r="E23" s="158">
        <f>SUM(E15:E22)</f>
        <v>2855000</v>
      </c>
      <c r="F23" s="159" t="s">
        <v>144</v>
      </c>
      <c r="G23" s="160"/>
      <c r="H23" s="160"/>
      <c r="I23" s="160"/>
      <c r="J23" s="160"/>
      <c r="K23" s="158">
        <f>SUM(K15:K22)</f>
        <v>1250.49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51.29"/>
    <col customWidth="1" min="3" max="3" width="49.71"/>
    <col customWidth="1" min="4" max="4" width="32.29"/>
    <col customWidth="1" min="5" max="5" width="36.14"/>
    <col customWidth="1" min="6" max="6" width="23.29"/>
    <col customWidth="1" min="7" max="7" width="35.0"/>
    <col customWidth="1" min="8" max="8" width="22.29"/>
    <col customWidth="1" min="9" max="9" width="23.43"/>
  </cols>
  <sheetData>
    <row r="1" ht="30.0" customHeight="1">
      <c r="A1" s="1" t="s">
        <v>148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117" t="s">
        <v>62</v>
      </c>
      <c r="B2" s="118"/>
      <c r="C2" s="119"/>
      <c r="D2" s="121" t="s">
        <v>102</v>
      </c>
      <c r="E2" s="118"/>
      <c r="F2" s="118"/>
      <c r="G2" s="118"/>
      <c r="H2" s="118"/>
      <c r="I2" s="119"/>
    </row>
    <row r="3" ht="19.5" customHeight="1">
      <c r="A3" s="122" t="s">
        <v>103</v>
      </c>
      <c r="B3" s="118"/>
      <c r="C3" s="119"/>
      <c r="D3" s="124" t="s">
        <v>98</v>
      </c>
      <c r="E3" s="118"/>
      <c r="F3" s="118"/>
      <c r="G3" s="118"/>
      <c r="H3" s="118"/>
      <c r="I3" s="119"/>
    </row>
    <row r="4" ht="19.5" customHeight="1">
      <c r="A4" s="122" t="s">
        <v>8</v>
      </c>
      <c r="B4" s="118"/>
      <c r="C4" s="119"/>
      <c r="D4" s="124" t="s">
        <v>43</v>
      </c>
      <c r="E4" s="118"/>
      <c r="F4" s="119"/>
      <c r="G4" s="4"/>
      <c r="I4" s="4"/>
    </row>
    <row r="5" ht="19.5" customHeight="1">
      <c r="A5" s="122" t="s">
        <v>104</v>
      </c>
      <c r="B5" s="118"/>
      <c r="C5" s="119"/>
      <c r="D5" s="124" t="s">
        <v>44</v>
      </c>
      <c r="E5" s="118"/>
      <c r="F5" s="119"/>
      <c r="G5" s="126" t="s">
        <v>10</v>
      </c>
      <c r="H5" s="119"/>
      <c r="I5" s="127" t="s">
        <v>17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9"/>
    </row>
    <row r="7" ht="19.5" customHeight="1">
      <c r="A7" s="122" t="s">
        <v>106</v>
      </c>
      <c r="B7" s="118"/>
      <c r="C7" s="119"/>
      <c r="D7" s="126" t="s">
        <v>107</v>
      </c>
      <c r="E7" s="118"/>
      <c r="F7" s="118"/>
      <c r="G7" s="118"/>
      <c r="H7" s="118"/>
      <c r="I7" s="119"/>
    </row>
    <row r="8" ht="6.0" customHeight="1">
      <c r="A8" s="4"/>
      <c r="D8" s="4"/>
      <c r="G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</row>
    <row r="10" ht="19.5" customHeight="1">
      <c r="A10" s="122" t="s">
        <v>109</v>
      </c>
      <c r="B10" s="131"/>
      <c r="C10" s="131"/>
      <c r="D10" s="131">
        <v>4.38E-4</v>
      </c>
      <c r="E10" s="131"/>
      <c r="F10" s="131"/>
      <c r="G10" s="131"/>
      <c r="H10" s="131"/>
      <c r="I10" s="132"/>
    </row>
    <row r="11" ht="6.0" customHeight="1">
      <c r="A11" s="4"/>
      <c r="D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</row>
    <row r="13" ht="18.0" customHeight="1">
      <c r="A13" s="134" t="s">
        <v>111</v>
      </c>
      <c r="B13" s="118"/>
      <c r="C13" s="119"/>
      <c r="D13" s="136" t="s">
        <v>112</v>
      </c>
      <c r="E13" s="118"/>
      <c r="F13" s="118"/>
      <c r="G13" s="118"/>
      <c r="H13" s="118"/>
      <c r="I13" s="119"/>
    </row>
    <row r="14" ht="30.0" customHeight="1">
      <c r="A14" s="137" t="s">
        <v>113</v>
      </c>
      <c r="B14" s="119"/>
      <c r="C14" s="22" t="s">
        <v>114</v>
      </c>
      <c r="D14" s="22" t="s">
        <v>116</v>
      </c>
      <c r="E14" s="22" t="s">
        <v>117</v>
      </c>
      <c r="F14" s="22" t="s">
        <v>118</v>
      </c>
      <c r="G14" s="22" t="s">
        <v>120</v>
      </c>
      <c r="H14" s="22" t="s">
        <v>121</v>
      </c>
      <c r="I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1000000.0</v>
      </c>
      <c r="E15" s="140" t="s">
        <v>105</v>
      </c>
      <c r="F15" s="141"/>
      <c r="G15" s="142" t="s">
        <v>125</v>
      </c>
      <c r="H15" s="143">
        <f>$D10</f>
        <v>0.000438</v>
      </c>
      <c r="I15" s="144">
        <f>IF(D15="",0,D15*$D10)</f>
        <v>438</v>
      </c>
    </row>
    <row r="16" ht="21.75" customHeight="1">
      <c r="A16" s="145" t="s">
        <v>126</v>
      </c>
      <c r="B16" s="119"/>
      <c r="C16" s="123" t="s">
        <v>127</v>
      </c>
      <c r="D16" s="168">
        <v>700000.0</v>
      </c>
      <c r="E16" s="146" t="s">
        <v>126</v>
      </c>
      <c r="F16" s="147"/>
      <c r="G16" s="148" t="s">
        <v>125</v>
      </c>
      <c r="H16" s="149">
        <f>$D10</f>
        <v>0.000438</v>
      </c>
      <c r="I16" s="150">
        <f>IF(D16="",0,D16*$D10)</f>
        <v>306.6</v>
      </c>
    </row>
    <row r="17" ht="21.75" customHeight="1">
      <c r="A17" s="138" t="s">
        <v>128</v>
      </c>
      <c r="B17" s="119"/>
      <c r="C17" s="123" t="s">
        <v>129</v>
      </c>
      <c r="D17" s="168">
        <v>1000000.0</v>
      </c>
      <c r="E17" s="140" t="s">
        <v>130</v>
      </c>
      <c r="F17" s="141"/>
      <c r="G17" s="142" t="s">
        <v>125</v>
      </c>
      <c r="H17" s="143">
        <f>$D10</f>
        <v>0.000438</v>
      </c>
      <c r="I17" s="144">
        <f>IF(D17="",0,D17*$D10)</f>
        <v>438</v>
      </c>
    </row>
    <row r="18" ht="21.75" customHeight="1">
      <c r="A18" s="145" t="s">
        <v>131</v>
      </c>
      <c r="B18" s="119"/>
      <c r="C18" s="123" t="s">
        <v>132</v>
      </c>
      <c r="D18" s="168">
        <v>400000.0</v>
      </c>
      <c r="E18" s="146" t="s">
        <v>149</v>
      </c>
      <c r="F18" s="147"/>
      <c r="G18" s="148" t="s">
        <v>125</v>
      </c>
      <c r="H18" s="149">
        <f>$D10</f>
        <v>0.000438</v>
      </c>
      <c r="I18" s="150">
        <f>IF(D18="",0,D18*$D10)</f>
        <v>175.2</v>
      </c>
    </row>
    <row r="19" ht="21.75" customHeight="1">
      <c r="A19" s="138" t="s">
        <v>150</v>
      </c>
      <c r="B19" s="119"/>
      <c r="C19" s="123" t="s">
        <v>151</v>
      </c>
      <c r="D19" s="168">
        <v>100000.0</v>
      </c>
      <c r="E19" s="140" t="s">
        <v>139</v>
      </c>
      <c r="F19" s="141"/>
      <c r="G19" s="142" t="s">
        <v>125</v>
      </c>
      <c r="H19" s="143">
        <f>$D10</f>
        <v>0.000438</v>
      </c>
      <c r="I19" s="144">
        <f>IF(D19="",0,D19*$D10)</f>
        <v>43.8</v>
      </c>
    </row>
    <row r="20" ht="21.75" customHeight="1">
      <c r="A20" s="145" t="s">
        <v>140</v>
      </c>
      <c r="B20" s="118"/>
      <c r="C20" s="119"/>
      <c r="D20" s="168"/>
      <c r="E20" s="146" t="s">
        <v>141</v>
      </c>
      <c r="F20" s="147"/>
      <c r="G20" s="148" t="s">
        <v>125</v>
      </c>
      <c r="H20" s="149">
        <f>$D10</f>
        <v>0.000438</v>
      </c>
      <c r="I20" s="150">
        <f>IF(D20="",0,D20*$D10)</f>
        <v>0</v>
      </c>
    </row>
    <row r="21" ht="21.75" customHeight="1">
      <c r="A21" s="138" t="s">
        <v>142</v>
      </c>
      <c r="B21" s="154"/>
      <c r="C21" s="154"/>
      <c r="D21" s="168">
        <v>30000.0</v>
      </c>
      <c r="E21" s="154"/>
      <c r="F21" s="154"/>
      <c r="G21" s="148" t="s">
        <v>125</v>
      </c>
      <c r="H21" s="149">
        <f>$D10</f>
        <v>0.000438</v>
      </c>
      <c r="I21" s="150">
        <f>IF(D21="",0,D21*$D10)</f>
        <v>13.14</v>
      </c>
    </row>
    <row r="22" ht="25.5" customHeight="1">
      <c r="A22" s="157" t="s">
        <v>143</v>
      </c>
      <c r="B22" s="118"/>
      <c r="C22" s="119"/>
      <c r="D22" s="158">
        <f>SUM(D15:D21)</f>
        <v>3230000</v>
      </c>
      <c r="E22" s="159" t="s">
        <v>144</v>
      </c>
      <c r="F22" s="160"/>
      <c r="G22" s="160"/>
      <c r="H22" s="160"/>
      <c r="I22" s="158">
        <f>SUM(I15:I21)</f>
        <v>1414.74</v>
      </c>
    </row>
    <row r="23" ht="15.75" customHeight="1">
      <c r="A23" s="107" t="s">
        <v>145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I1"/>
    <mergeCell ref="A2:C2"/>
    <mergeCell ref="D2:I2"/>
    <mergeCell ref="A3:C3"/>
    <mergeCell ref="D3:I3"/>
    <mergeCell ref="D4:F4"/>
    <mergeCell ref="G4:H4"/>
    <mergeCell ref="A4:C4"/>
    <mergeCell ref="A5:C5"/>
    <mergeCell ref="D5:F5"/>
    <mergeCell ref="G5:H5"/>
    <mergeCell ref="A6:I6"/>
    <mergeCell ref="A7:C7"/>
    <mergeCell ref="D7:I7"/>
    <mergeCell ref="A8:C8"/>
    <mergeCell ref="D8:F8"/>
    <mergeCell ref="G8:I8"/>
    <mergeCell ref="A9:I9"/>
    <mergeCell ref="A11:C11"/>
    <mergeCell ref="D11:I11"/>
    <mergeCell ref="A12:I12"/>
    <mergeCell ref="A19:B19"/>
    <mergeCell ref="A20:C20"/>
    <mergeCell ref="A22:C22"/>
    <mergeCell ref="A23:I23"/>
    <mergeCell ref="A13:C13"/>
    <mergeCell ref="D13:I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D2"/>
  </hyperlink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6.86"/>
    <col customWidth="1" min="3" max="3" width="50.71"/>
    <col customWidth="1" min="4" max="4" width="24.0"/>
    <col customWidth="1" min="5" max="5" width="39.71"/>
    <col customWidth="1" min="6" max="6" width="13.43"/>
    <col customWidth="1" min="7" max="7" width="36.43"/>
    <col customWidth="1" min="8" max="8" width="24.0"/>
    <col customWidth="1" min="9" max="9" width="28.0"/>
  </cols>
  <sheetData>
    <row r="1">
      <c r="A1" s="169" t="s">
        <v>148</v>
      </c>
      <c r="B1" s="170"/>
      <c r="C1" s="170"/>
      <c r="D1" s="170"/>
      <c r="E1" s="170"/>
      <c r="F1" s="170"/>
      <c r="G1" s="170"/>
      <c r="H1" s="170"/>
      <c r="I1" s="170"/>
    </row>
    <row r="2">
      <c r="A2" s="171" t="s">
        <v>62</v>
      </c>
      <c r="B2" s="118"/>
      <c r="C2" s="119"/>
      <c r="D2" s="172"/>
      <c r="E2" s="118"/>
      <c r="F2" s="118"/>
      <c r="G2" s="118"/>
      <c r="H2" s="118"/>
      <c r="I2" s="119"/>
    </row>
    <row r="3">
      <c r="A3" s="122" t="s">
        <v>103</v>
      </c>
      <c r="B3" s="118"/>
      <c r="C3" s="119"/>
      <c r="D3" s="124" t="s">
        <v>152</v>
      </c>
      <c r="E3" s="118"/>
      <c r="F3" s="118"/>
      <c r="G3" s="118"/>
      <c r="H3" s="118"/>
      <c r="I3" s="119"/>
    </row>
    <row r="4">
      <c r="A4" s="122" t="s">
        <v>8</v>
      </c>
      <c r="B4" s="118"/>
      <c r="C4" s="119"/>
      <c r="D4" s="124" t="s">
        <v>153</v>
      </c>
      <c r="E4" s="118"/>
      <c r="F4" s="119"/>
      <c r="G4" s="173"/>
      <c r="H4" s="118"/>
      <c r="I4" s="174"/>
    </row>
    <row r="5">
      <c r="A5" s="122" t="s">
        <v>104</v>
      </c>
      <c r="B5" s="118"/>
      <c r="C5" s="119"/>
      <c r="D5" s="124"/>
      <c r="E5" s="118"/>
      <c r="F5" s="119"/>
      <c r="G5" s="126" t="s">
        <v>10</v>
      </c>
      <c r="H5" s="119"/>
      <c r="I5" s="175" t="s">
        <v>17</v>
      </c>
    </row>
    <row r="6">
      <c r="A6" s="122" t="s">
        <v>105</v>
      </c>
      <c r="B6" s="118"/>
      <c r="C6" s="118"/>
      <c r="D6" s="118"/>
      <c r="E6" s="118"/>
      <c r="F6" s="118"/>
      <c r="G6" s="118"/>
      <c r="H6" s="118"/>
      <c r="I6" s="119"/>
    </row>
    <row r="7">
      <c r="A7" s="122" t="s">
        <v>106</v>
      </c>
      <c r="B7" s="118"/>
      <c r="C7" s="119"/>
      <c r="D7" s="124"/>
      <c r="E7" s="118"/>
      <c r="F7" s="118"/>
      <c r="G7" s="118"/>
      <c r="H7" s="118"/>
      <c r="I7" s="119"/>
    </row>
    <row r="8">
      <c r="A8" s="176"/>
      <c r="B8" s="177"/>
      <c r="C8" s="177"/>
      <c r="D8" s="176"/>
      <c r="E8" s="177"/>
      <c r="F8" s="177"/>
      <c r="G8" s="176"/>
      <c r="H8" s="177"/>
      <c r="I8" s="177"/>
    </row>
    <row r="9">
      <c r="A9" s="178" t="s">
        <v>108</v>
      </c>
      <c r="B9" s="170"/>
      <c r="C9" s="170"/>
      <c r="D9" s="170"/>
      <c r="E9" s="170"/>
      <c r="F9" s="170"/>
      <c r="G9" s="170"/>
      <c r="H9" s="170"/>
      <c r="I9" s="170"/>
    </row>
    <row r="10">
      <c r="A10" s="122" t="s">
        <v>109</v>
      </c>
      <c r="B10" s="131"/>
      <c r="C10" s="131"/>
      <c r="D10" s="131">
        <v>4.38E-4</v>
      </c>
      <c r="E10" s="131"/>
      <c r="F10" s="131"/>
      <c r="G10" s="131"/>
      <c r="H10" s="131"/>
      <c r="I10" s="132"/>
    </row>
    <row r="11">
      <c r="A11" s="176"/>
      <c r="B11" s="177"/>
      <c r="C11" s="177"/>
      <c r="D11" s="176"/>
      <c r="E11" s="177"/>
      <c r="F11" s="177"/>
      <c r="G11" s="177"/>
      <c r="H11" s="177"/>
      <c r="I11" s="177"/>
    </row>
    <row r="12">
      <c r="A12" s="178" t="s">
        <v>110</v>
      </c>
      <c r="B12" s="170"/>
      <c r="C12" s="170"/>
      <c r="D12" s="170"/>
      <c r="E12" s="170"/>
      <c r="F12" s="170"/>
      <c r="G12" s="170"/>
      <c r="H12" s="170"/>
      <c r="I12" s="170"/>
    </row>
    <row r="13">
      <c r="A13" s="134" t="s">
        <v>111</v>
      </c>
      <c r="B13" s="118"/>
      <c r="C13" s="119"/>
      <c r="D13" s="136" t="s">
        <v>112</v>
      </c>
      <c r="E13" s="118"/>
      <c r="F13" s="118"/>
      <c r="G13" s="118"/>
      <c r="H13" s="118"/>
      <c r="I13" s="119"/>
    </row>
    <row r="14">
      <c r="A14" s="137" t="s">
        <v>113</v>
      </c>
      <c r="B14" s="119"/>
      <c r="C14" s="179" t="s">
        <v>114</v>
      </c>
      <c r="D14" s="179" t="s">
        <v>116</v>
      </c>
      <c r="E14" s="179" t="s">
        <v>117</v>
      </c>
      <c r="F14" s="179" t="s">
        <v>118</v>
      </c>
      <c r="G14" s="179" t="s">
        <v>120</v>
      </c>
      <c r="H14" s="179" t="s">
        <v>121</v>
      </c>
      <c r="I14" s="179" t="s">
        <v>122</v>
      </c>
    </row>
    <row r="15">
      <c r="A15" s="138" t="s">
        <v>154</v>
      </c>
      <c r="B15" s="119"/>
      <c r="C15" s="180" t="s">
        <v>155</v>
      </c>
      <c r="D15" s="181">
        <v>2300000.0</v>
      </c>
      <c r="E15" s="182" t="s">
        <v>156</v>
      </c>
      <c r="F15" s="183"/>
      <c r="G15" s="184" t="s">
        <v>125</v>
      </c>
      <c r="H15" s="185">
        <v>4.138E-4</v>
      </c>
      <c r="I15" s="186">
        <f t="shared" ref="I15:I21" si="1">IF(D15="",0,D15*$H15)</f>
        <v>951.74</v>
      </c>
    </row>
    <row r="16">
      <c r="A16" s="145"/>
      <c r="B16" s="119"/>
      <c r="C16" s="187"/>
      <c r="D16" s="181">
        <v>0.0</v>
      </c>
      <c r="E16" s="188"/>
      <c r="F16" s="189"/>
      <c r="G16" s="190" t="s">
        <v>125</v>
      </c>
      <c r="H16" s="191">
        <v>4.138E-4</v>
      </c>
      <c r="I16" s="186">
        <f t="shared" si="1"/>
        <v>0</v>
      </c>
    </row>
    <row r="17">
      <c r="A17" s="138"/>
      <c r="B17" s="119"/>
      <c r="C17" s="187"/>
      <c r="D17" s="181">
        <v>0.0</v>
      </c>
      <c r="E17" s="182"/>
      <c r="F17" s="183"/>
      <c r="G17" s="184" t="s">
        <v>125</v>
      </c>
      <c r="H17" s="185">
        <v>4.138E-4</v>
      </c>
      <c r="I17" s="186">
        <f t="shared" si="1"/>
        <v>0</v>
      </c>
    </row>
    <row r="18">
      <c r="A18" s="145"/>
      <c r="B18" s="119"/>
      <c r="C18" s="187"/>
      <c r="D18" s="181">
        <v>0.0</v>
      </c>
      <c r="F18" s="189"/>
      <c r="G18" s="190" t="s">
        <v>125</v>
      </c>
      <c r="H18" s="191">
        <v>4.138E-4</v>
      </c>
      <c r="I18" s="186">
        <f t="shared" si="1"/>
        <v>0</v>
      </c>
    </row>
    <row r="19">
      <c r="A19" s="138"/>
      <c r="B19" s="119"/>
      <c r="C19" s="187"/>
      <c r="D19" s="181">
        <v>0.0</v>
      </c>
      <c r="E19" s="188"/>
      <c r="F19" s="183"/>
      <c r="G19" s="184" t="s">
        <v>125</v>
      </c>
      <c r="H19" s="185">
        <v>4.138E-4</v>
      </c>
      <c r="I19" s="186">
        <f t="shared" si="1"/>
        <v>0</v>
      </c>
    </row>
    <row r="20">
      <c r="A20" s="145"/>
      <c r="B20" s="118"/>
      <c r="C20" s="119"/>
      <c r="D20" s="181">
        <v>0.0</v>
      </c>
      <c r="E20" s="188"/>
      <c r="F20" s="189"/>
      <c r="G20" s="190" t="s">
        <v>125</v>
      </c>
      <c r="H20" s="191">
        <v>4.138E-4</v>
      </c>
      <c r="I20" s="186">
        <f t="shared" si="1"/>
        <v>0</v>
      </c>
    </row>
    <row r="21" ht="15.75" customHeight="1">
      <c r="A21" s="192"/>
      <c r="B21" s="118"/>
      <c r="C21" s="118"/>
      <c r="D21" s="118"/>
      <c r="E21" s="118"/>
      <c r="F21" s="118"/>
      <c r="G21" s="118"/>
      <c r="H21" s="191">
        <v>4.138E-4</v>
      </c>
      <c r="I21" s="186">
        <f t="shared" si="1"/>
        <v>0</v>
      </c>
    </row>
    <row r="22" ht="15.75" customHeight="1">
      <c r="A22" s="157" t="s">
        <v>143</v>
      </c>
      <c r="B22" s="118"/>
      <c r="C22" s="119"/>
      <c r="D22" s="193">
        <v>0.0</v>
      </c>
      <c r="E22" s="194" t="s">
        <v>144</v>
      </c>
      <c r="F22" s="195"/>
      <c r="G22" s="195"/>
      <c r="H22" s="195"/>
      <c r="I22" s="193">
        <f>SUM(I15:I21)</f>
        <v>951.74</v>
      </c>
    </row>
    <row r="23" ht="15.75" customHeight="1">
      <c r="A23" s="196" t="s">
        <v>145</v>
      </c>
      <c r="B23" s="177"/>
      <c r="C23" s="177"/>
      <c r="D23" s="177"/>
      <c r="E23" s="177"/>
      <c r="F23" s="177"/>
      <c r="G23" s="177"/>
      <c r="H23" s="177"/>
      <c r="I23" s="17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I1"/>
    <mergeCell ref="A2:C2"/>
    <mergeCell ref="D2:I2"/>
    <mergeCell ref="A3:C3"/>
    <mergeCell ref="D3:I3"/>
    <mergeCell ref="D4:F4"/>
    <mergeCell ref="G4:H4"/>
    <mergeCell ref="A4:C4"/>
    <mergeCell ref="A5:C5"/>
    <mergeCell ref="D5:F5"/>
    <mergeCell ref="G5:H5"/>
    <mergeCell ref="A6:I6"/>
    <mergeCell ref="A7:C7"/>
    <mergeCell ref="D7:I7"/>
    <mergeCell ref="A8:C8"/>
    <mergeCell ref="D8:F8"/>
    <mergeCell ref="G8:I8"/>
    <mergeCell ref="A9:I9"/>
    <mergeCell ref="A11:C11"/>
    <mergeCell ref="D11:I11"/>
    <mergeCell ref="A12:I12"/>
    <mergeCell ref="A19:B19"/>
    <mergeCell ref="A20:C20"/>
    <mergeCell ref="A21:G21"/>
    <mergeCell ref="A22:C22"/>
    <mergeCell ref="A23:I23"/>
    <mergeCell ref="A13:C13"/>
    <mergeCell ref="D13:I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45.71"/>
    <col customWidth="1" min="3" max="3" width="48.29"/>
    <col customWidth="1" min="4" max="5" width="31.71"/>
    <col customWidth="1" min="6" max="6" width="34.14"/>
    <col customWidth="1" min="7" max="8" width="21.71"/>
    <col customWidth="1" min="9" max="9" width="35.43"/>
    <col customWidth="1" min="10" max="10" width="24.0"/>
    <col customWidth="1" min="11" max="11" width="28.29"/>
  </cols>
  <sheetData>
    <row r="1" ht="30.0" customHeight="1">
      <c r="A1" s="1" t="s">
        <v>148</v>
      </c>
      <c r="B1" s="197"/>
      <c r="C1" s="197"/>
      <c r="D1" s="197"/>
      <c r="E1" s="197"/>
      <c r="F1" s="197"/>
      <c r="G1" s="197"/>
      <c r="H1" s="197"/>
      <c r="I1" s="197"/>
      <c r="J1" s="197"/>
      <c r="K1" s="198"/>
    </row>
    <row r="2" ht="18.0" customHeight="1">
      <c r="A2" s="199" t="s">
        <v>62</v>
      </c>
      <c r="B2" s="200"/>
      <c r="C2" s="201"/>
      <c r="D2" s="202"/>
      <c r="E2" s="203" t="s">
        <v>102</v>
      </c>
      <c r="F2" s="200"/>
      <c r="G2" s="200"/>
      <c r="H2" s="200"/>
      <c r="I2" s="200"/>
      <c r="J2" s="200"/>
      <c r="K2" s="201"/>
    </row>
    <row r="3" ht="19.5" customHeight="1">
      <c r="A3" s="122" t="s">
        <v>103</v>
      </c>
      <c r="B3" s="118"/>
      <c r="C3" s="119"/>
      <c r="D3" s="123"/>
      <c r="E3" s="124" t="s">
        <v>68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19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20</v>
      </c>
      <c r="F5" s="118"/>
      <c r="G5" s="119"/>
      <c r="H5" s="123"/>
      <c r="I5" s="126" t="s">
        <v>10</v>
      </c>
      <c r="J5" s="119"/>
      <c r="K5" s="204" t="s">
        <v>21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4.13E-4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30.0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/>
      <c r="E15" s="139">
        <v>0.0</v>
      </c>
      <c r="F15" s="140" t="s">
        <v>105</v>
      </c>
      <c r="G15" s="141"/>
      <c r="H15" s="141"/>
      <c r="I15" s="142" t="s">
        <v>125</v>
      </c>
      <c r="J15" s="143">
        <f>$E10</f>
        <v>0.000413</v>
      </c>
      <c r="K15" s="144">
        <f>IF(E15="",0,E15*$E10)</f>
        <v>0</v>
      </c>
    </row>
    <row r="16" ht="21.75" customHeight="1">
      <c r="A16" s="145" t="s">
        <v>126</v>
      </c>
      <c r="B16" s="119"/>
      <c r="C16" s="123" t="s">
        <v>127</v>
      </c>
      <c r="D16" s="139"/>
      <c r="E16" s="139">
        <v>0.0</v>
      </c>
      <c r="F16" s="146" t="s">
        <v>126</v>
      </c>
      <c r="G16" s="147"/>
      <c r="H16" s="147"/>
      <c r="I16" s="148" t="s">
        <v>125</v>
      </c>
      <c r="J16" s="149">
        <f>$E10</f>
        <v>0.000413</v>
      </c>
      <c r="K16" s="150">
        <f>IF(E16="",0,E16*$E10)</f>
        <v>0</v>
      </c>
    </row>
    <row r="17" ht="21.75" customHeight="1">
      <c r="A17" s="138" t="s">
        <v>128</v>
      </c>
      <c r="B17" s="119"/>
      <c r="C17" s="123" t="s">
        <v>129</v>
      </c>
      <c r="D17" s="139"/>
      <c r="E17" s="139">
        <v>0.0</v>
      </c>
      <c r="F17" s="140" t="s">
        <v>130</v>
      </c>
      <c r="G17" s="141"/>
      <c r="H17" s="141"/>
      <c r="I17" s="142" t="s">
        <v>125</v>
      </c>
      <c r="J17" s="143">
        <f>$E10</f>
        <v>0.000413</v>
      </c>
      <c r="K17" s="144">
        <f>IF(E17="",0,E17*$E10)</f>
        <v>0</v>
      </c>
    </row>
    <row r="18" ht="21.75" customHeight="1">
      <c r="A18" s="145" t="s">
        <v>131</v>
      </c>
      <c r="B18" s="119"/>
      <c r="C18" s="123" t="s">
        <v>132</v>
      </c>
      <c r="D18" s="139"/>
      <c r="E18" s="139">
        <v>0.0</v>
      </c>
      <c r="F18" s="146" t="s">
        <v>149</v>
      </c>
      <c r="G18" s="147"/>
      <c r="H18" s="147"/>
      <c r="I18" s="148" t="s">
        <v>125</v>
      </c>
      <c r="J18" s="149">
        <f>$E10</f>
        <v>0.000413</v>
      </c>
      <c r="K18" s="150">
        <f>IF(E18="",0,E18*$E10)</f>
        <v>0</v>
      </c>
    </row>
    <row r="19" ht="21.75" customHeight="1">
      <c r="A19" s="138" t="s">
        <v>150</v>
      </c>
      <c r="B19" s="119"/>
      <c r="C19" s="123" t="s">
        <v>138</v>
      </c>
      <c r="D19" s="139"/>
      <c r="E19" s="139">
        <v>0.0</v>
      </c>
      <c r="F19" s="140" t="s">
        <v>139</v>
      </c>
      <c r="G19" s="141"/>
      <c r="H19" s="141"/>
      <c r="I19" s="142" t="s">
        <v>125</v>
      </c>
      <c r="J19" s="143">
        <f>$E10</f>
        <v>0.000413</v>
      </c>
      <c r="K19" s="144">
        <f>IF(E19="",0,E19*$E10)</f>
        <v>0</v>
      </c>
    </row>
    <row r="20" ht="21.75" customHeight="1">
      <c r="A20" s="145" t="s">
        <v>140</v>
      </c>
      <c r="B20" s="118"/>
      <c r="C20" s="119"/>
      <c r="D20" s="139"/>
      <c r="E20" s="139">
        <v>0.0</v>
      </c>
      <c r="F20" s="146" t="s">
        <v>141</v>
      </c>
      <c r="G20" s="147"/>
      <c r="H20" s="147"/>
      <c r="I20" s="148" t="s">
        <v>125</v>
      </c>
      <c r="J20" s="149">
        <f>$E10</f>
        <v>0.000413</v>
      </c>
      <c r="K20" s="150">
        <f>IF(E20="",0,E20*$E10)</f>
        <v>0</v>
      </c>
    </row>
    <row r="21" ht="21.75" customHeight="1">
      <c r="A21" s="138" t="s">
        <v>142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9"/>
    </row>
    <row r="22" ht="25.5" customHeight="1">
      <c r="A22" s="205"/>
      <c r="B22" s="205"/>
      <c r="C22" s="205"/>
      <c r="D22" s="158"/>
      <c r="E22" s="158"/>
      <c r="F22" s="159"/>
      <c r="G22" s="160"/>
      <c r="H22" s="160"/>
      <c r="I22" s="160"/>
      <c r="J22" s="160"/>
      <c r="K22" s="158"/>
    </row>
    <row r="23" ht="25.5" customHeight="1">
      <c r="A23" s="157" t="s">
        <v>143</v>
      </c>
      <c r="B23" s="118"/>
      <c r="C23" s="119"/>
      <c r="D23" s="158"/>
      <c r="E23" s="158">
        <f>SUM(E15:E21)</f>
        <v>0</v>
      </c>
      <c r="F23" s="159" t="s">
        <v>144</v>
      </c>
      <c r="G23" s="160"/>
      <c r="H23" s="160"/>
      <c r="I23" s="160"/>
      <c r="J23" s="160"/>
      <c r="K23" s="158">
        <f>SUM(K15:K21)</f>
        <v>0</v>
      </c>
    </row>
    <row r="24" ht="15.75" customHeight="1">
      <c r="A24" s="107" t="s">
        <v>145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E4:G4"/>
    <mergeCell ref="E5:G5"/>
    <mergeCell ref="A2:C2"/>
    <mergeCell ref="E2:K2"/>
    <mergeCell ref="A3:C3"/>
    <mergeCell ref="E3:K3"/>
    <mergeCell ref="A4:C4"/>
    <mergeCell ref="I4:J4"/>
    <mergeCell ref="I5:J5"/>
    <mergeCell ref="E11:K11"/>
    <mergeCell ref="A12:K12"/>
    <mergeCell ref="E13:K13"/>
    <mergeCell ref="A5:C5"/>
    <mergeCell ref="A6:K6"/>
    <mergeCell ref="A7:C7"/>
    <mergeCell ref="E7:K7"/>
    <mergeCell ref="E8:G8"/>
    <mergeCell ref="I8:K8"/>
    <mergeCell ref="A9:K9"/>
    <mergeCell ref="A18:B18"/>
    <mergeCell ref="A19:B19"/>
    <mergeCell ref="A20:C20"/>
    <mergeCell ref="A21:K21"/>
    <mergeCell ref="A24:K24"/>
    <mergeCell ref="A8:C8"/>
    <mergeCell ref="A11:C11"/>
    <mergeCell ref="A13:C13"/>
    <mergeCell ref="A14:B14"/>
    <mergeCell ref="A15:B15"/>
    <mergeCell ref="A16:B16"/>
    <mergeCell ref="A17:B17"/>
    <mergeCell ref="A23:C23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51.0"/>
    <col customWidth="1" min="3" max="3" width="50.86"/>
    <col customWidth="1" min="4" max="5" width="36.71"/>
    <col customWidth="1" min="6" max="6" width="22.0"/>
    <col customWidth="1" min="7" max="8" width="24.29"/>
    <col customWidth="1" min="9" max="9" width="38.14"/>
    <col customWidth="1" min="10" max="10" width="31.14"/>
    <col customWidth="1" min="11" max="11" width="29.43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8.0" customHeight="1">
      <c r="A2" s="117" t="s">
        <v>62</v>
      </c>
      <c r="B2" s="118"/>
      <c r="C2" s="119"/>
      <c r="D2" s="120"/>
      <c r="E2" s="121" t="s">
        <v>102</v>
      </c>
      <c r="F2" s="118"/>
      <c r="G2" s="118"/>
      <c r="H2" s="118"/>
      <c r="I2" s="118"/>
      <c r="J2" s="118"/>
      <c r="K2" s="119"/>
    </row>
    <row r="3" ht="19.5" customHeight="1">
      <c r="A3" s="122" t="s">
        <v>103</v>
      </c>
      <c r="B3" s="118"/>
      <c r="C3" s="119"/>
      <c r="D3" s="123"/>
      <c r="E3" s="124" t="s">
        <v>73</v>
      </c>
      <c r="F3" s="118"/>
      <c r="G3" s="118"/>
      <c r="H3" s="118"/>
      <c r="I3" s="118"/>
      <c r="J3" s="118"/>
      <c r="K3" s="119"/>
    </row>
    <row r="4" ht="19.5" customHeight="1">
      <c r="A4" s="122" t="s">
        <v>8</v>
      </c>
      <c r="B4" s="118"/>
      <c r="C4" s="119"/>
      <c r="D4" s="123"/>
      <c r="E4" s="124" t="s">
        <v>31</v>
      </c>
      <c r="F4" s="118"/>
      <c r="G4" s="119"/>
      <c r="H4" s="125"/>
      <c r="I4" s="4"/>
      <c r="K4" s="4"/>
    </row>
    <row r="5" ht="19.5" customHeight="1">
      <c r="A5" s="122" t="s">
        <v>104</v>
      </c>
      <c r="B5" s="118"/>
      <c r="C5" s="119"/>
      <c r="D5" s="123"/>
      <c r="E5" s="124" t="s">
        <v>32</v>
      </c>
      <c r="F5" s="118"/>
      <c r="G5" s="119"/>
      <c r="H5" s="123"/>
      <c r="I5" s="126" t="s">
        <v>10</v>
      </c>
      <c r="J5" s="119"/>
      <c r="K5" s="204" t="s">
        <v>157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8"/>
      <c r="J6" s="118"/>
      <c r="K6" s="119"/>
    </row>
    <row r="7" ht="19.5" customHeight="1">
      <c r="A7" s="122" t="s">
        <v>106</v>
      </c>
      <c r="B7" s="118"/>
      <c r="C7" s="119"/>
      <c r="D7" s="128"/>
      <c r="E7" s="126" t="s">
        <v>107</v>
      </c>
      <c r="F7" s="118"/>
      <c r="G7" s="118"/>
      <c r="H7" s="118"/>
      <c r="I7" s="118"/>
      <c r="J7" s="118"/>
      <c r="K7" s="119"/>
    </row>
    <row r="8" ht="6.0" customHeight="1">
      <c r="A8" s="4"/>
      <c r="D8" s="4"/>
      <c r="E8" s="4"/>
      <c r="H8" s="4"/>
      <c r="I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</row>
    <row r="10" ht="19.5" customHeight="1">
      <c r="A10" s="122" t="s">
        <v>109</v>
      </c>
      <c r="B10" s="131"/>
      <c r="C10" s="131"/>
      <c r="D10" s="131"/>
      <c r="E10" s="131">
        <v>4.38E-4</v>
      </c>
      <c r="F10" s="131"/>
      <c r="G10" s="131"/>
      <c r="H10" s="131"/>
      <c r="I10" s="131"/>
      <c r="J10" s="131"/>
      <c r="K10" s="132"/>
    </row>
    <row r="11" ht="6.0" customHeight="1">
      <c r="A11" s="4"/>
      <c r="D11" s="4"/>
      <c r="E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8.0" customHeight="1">
      <c r="A13" s="134" t="s">
        <v>111</v>
      </c>
      <c r="B13" s="118"/>
      <c r="C13" s="119"/>
      <c r="D13" s="135"/>
      <c r="E13" s="136" t="s">
        <v>112</v>
      </c>
      <c r="F13" s="118"/>
      <c r="G13" s="118"/>
      <c r="H13" s="118"/>
      <c r="I13" s="118"/>
      <c r="J13" s="118"/>
      <c r="K13" s="119"/>
    </row>
    <row r="14" ht="30.0" customHeight="1">
      <c r="A14" s="137" t="s">
        <v>113</v>
      </c>
      <c r="B14" s="119"/>
      <c r="C14" s="22" t="s">
        <v>114</v>
      </c>
      <c r="D14" s="22"/>
      <c r="E14" s="22" t="s">
        <v>116</v>
      </c>
      <c r="F14" s="22" t="s">
        <v>117</v>
      </c>
      <c r="G14" s="22" t="s">
        <v>118</v>
      </c>
      <c r="H14" s="22"/>
      <c r="I14" s="22" t="s">
        <v>120</v>
      </c>
      <c r="J14" s="22" t="s">
        <v>121</v>
      </c>
      <c r="K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200000.0</v>
      </c>
      <c r="E15" s="139">
        <f t="shared" ref="E15:E22" si="1">H15*D15</f>
        <v>200000</v>
      </c>
      <c r="F15" s="140" t="s">
        <v>105</v>
      </c>
      <c r="G15" s="141"/>
      <c r="H15" s="141">
        <v>1.0</v>
      </c>
      <c r="I15" s="142" t="s">
        <v>125</v>
      </c>
      <c r="J15" s="143">
        <f>$E10</f>
        <v>0.000438</v>
      </c>
      <c r="K15" s="144">
        <f>IF(E15="",0,E15*$E10)</f>
        <v>87.6</v>
      </c>
    </row>
    <row r="16" ht="21.75" customHeight="1">
      <c r="A16" s="145" t="s">
        <v>126</v>
      </c>
      <c r="B16" s="119"/>
      <c r="C16" s="123" t="s">
        <v>127</v>
      </c>
      <c r="D16" s="139">
        <v>27000.0</v>
      </c>
      <c r="E16" s="139">
        <f t="shared" si="1"/>
        <v>810000</v>
      </c>
      <c r="F16" s="146" t="s">
        <v>126</v>
      </c>
      <c r="G16" s="147"/>
      <c r="H16" s="147">
        <v>30.0</v>
      </c>
      <c r="I16" s="148" t="s">
        <v>125</v>
      </c>
      <c r="J16" s="149">
        <f>$E10</f>
        <v>0.000438</v>
      </c>
      <c r="K16" s="150">
        <f>IF(E16="",0,E16*$E10)</f>
        <v>354.78</v>
      </c>
    </row>
    <row r="17" ht="21.75" customHeight="1">
      <c r="A17" s="138" t="s">
        <v>128</v>
      </c>
      <c r="B17" s="119"/>
      <c r="C17" s="123" t="s">
        <v>129</v>
      </c>
      <c r="D17" s="139">
        <v>27000.0</v>
      </c>
      <c r="E17" s="139">
        <f t="shared" si="1"/>
        <v>810000</v>
      </c>
      <c r="F17" s="140" t="s">
        <v>130</v>
      </c>
      <c r="G17" s="141"/>
      <c r="H17" s="141">
        <v>30.0</v>
      </c>
      <c r="I17" s="142" t="s">
        <v>125</v>
      </c>
      <c r="J17" s="143">
        <f>$E10</f>
        <v>0.000438</v>
      </c>
      <c r="K17" s="144">
        <f>IF(E17="",0,E17*$E10)</f>
        <v>354.78</v>
      </c>
    </row>
    <row r="18" ht="21.75" customHeight="1">
      <c r="A18" s="145" t="s">
        <v>131</v>
      </c>
      <c r="B18" s="119"/>
      <c r="C18" s="123" t="s">
        <v>132</v>
      </c>
      <c r="D18" s="139">
        <v>100000.0</v>
      </c>
      <c r="E18" s="139">
        <f t="shared" si="1"/>
        <v>400000</v>
      </c>
      <c r="F18" s="146" t="s">
        <v>133</v>
      </c>
      <c r="G18" s="147"/>
      <c r="H18" s="147">
        <v>4.0</v>
      </c>
      <c r="I18" s="148" t="s">
        <v>125</v>
      </c>
      <c r="J18" s="149">
        <f>$E10</f>
        <v>0.000438</v>
      </c>
      <c r="K18" s="150">
        <f>IF(E18="",0,E18*$E10)</f>
        <v>175.2</v>
      </c>
    </row>
    <row r="19" ht="21.75" customHeight="1">
      <c r="A19" s="138" t="s">
        <v>134</v>
      </c>
      <c r="B19" s="119"/>
      <c r="C19" s="151" t="s">
        <v>135</v>
      </c>
      <c r="D19" s="139">
        <v>250000.0</v>
      </c>
      <c r="E19" s="139">
        <f t="shared" si="1"/>
        <v>250000</v>
      </c>
      <c r="F19" s="140" t="s">
        <v>136</v>
      </c>
      <c r="G19" s="141"/>
      <c r="H19" s="141">
        <v>1.0</v>
      </c>
      <c r="I19" s="148" t="s">
        <v>125</v>
      </c>
      <c r="J19" s="149">
        <f>$E10</f>
        <v>0.000438</v>
      </c>
      <c r="K19" s="150">
        <f>IF(E19="",0,E19*$E10)</f>
        <v>109.5</v>
      </c>
    </row>
    <row r="20" ht="21.75" customHeight="1">
      <c r="A20" s="138" t="s">
        <v>137</v>
      </c>
      <c r="B20" s="119"/>
      <c r="C20" s="123" t="s">
        <v>138</v>
      </c>
      <c r="D20" s="139">
        <v>200000.0</v>
      </c>
      <c r="E20" s="139">
        <f t="shared" si="1"/>
        <v>200000</v>
      </c>
      <c r="F20" s="140" t="s">
        <v>139</v>
      </c>
      <c r="G20" s="141"/>
      <c r="H20" s="141">
        <v>1.0</v>
      </c>
      <c r="I20" s="142" t="s">
        <v>125</v>
      </c>
      <c r="J20" s="143">
        <f>$E10</f>
        <v>0.000438</v>
      </c>
      <c r="K20" s="144">
        <f>IF(E20="",0,E20*$E10)</f>
        <v>87.6</v>
      </c>
    </row>
    <row r="21" ht="21.75" customHeight="1">
      <c r="A21" s="145" t="s">
        <v>140</v>
      </c>
      <c r="B21" s="152"/>
      <c r="D21" s="153">
        <v>70000.0</v>
      </c>
      <c r="E21" s="139">
        <f t="shared" si="1"/>
        <v>70000</v>
      </c>
      <c r="F21" s="146" t="s">
        <v>141</v>
      </c>
      <c r="G21" s="147"/>
      <c r="H21" s="147">
        <v>1.0</v>
      </c>
      <c r="I21" s="148" t="s">
        <v>125</v>
      </c>
      <c r="J21" s="149">
        <f>$E10</f>
        <v>0.000438</v>
      </c>
      <c r="K21" s="150">
        <f>IF(E21="",0,E21*$E10)</f>
        <v>30.66</v>
      </c>
    </row>
    <row r="22" ht="25.5" customHeight="1">
      <c r="A22" s="152" t="s">
        <v>142</v>
      </c>
      <c r="B22" s="119"/>
      <c r="C22" s="154"/>
      <c r="D22" s="153">
        <v>30000.0</v>
      </c>
      <c r="E22" s="139">
        <f t="shared" si="1"/>
        <v>30000</v>
      </c>
      <c r="F22" s="154"/>
      <c r="G22" s="154"/>
      <c r="H22" s="155">
        <v>1.0</v>
      </c>
      <c r="I22" s="148" t="s">
        <v>125</v>
      </c>
      <c r="J22" s="149">
        <f>$E10</f>
        <v>0.000438</v>
      </c>
      <c r="K22" s="150">
        <f>IF(E22="",0,E22*$E10)</f>
        <v>13.14</v>
      </c>
    </row>
    <row r="23" ht="25.5" customHeight="1">
      <c r="A23" s="157" t="s">
        <v>143</v>
      </c>
      <c r="B23" s="118"/>
      <c r="C23" s="119"/>
      <c r="D23" s="158"/>
      <c r="E23" s="158">
        <f>SUM(E15:E22)</f>
        <v>2770000</v>
      </c>
      <c r="F23" s="159" t="s">
        <v>144</v>
      </c>
      <c r="G23" s="160"/>
      <c r="H23" s="160"/>
      <c r="I23" s="160"/>
      <c r="J23" s="160"/>
      <c r="K23" s="158">
        <f>SUM(K15:K22)</f>
        <v>1213.26</v>
      </c>
    </row>
    <row r="24" ht="15.75" customHeight="1">
      <c r="A24" s="107" t="s">
        <v>145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K1"/>
    <mergeCell ref="A2:C2"/>
    <mergeCell ref="E2:K2"/>
    <mergeCell ref="A3:C3"/>
    <mergeCell ref="E3:K3"/>
    <mergeCell ref="E4:G4"/>
    <mergeCell ref="I4:J4"/>
    <mergeCell ref="A4:C4"/>
    <mergeCell ref="A5:C5"/>
    <mergeCell ref="E5:G5"/>
    <mergeCell ref="I5:J5"/>
    <mergeCell ref="A6:K6"/>
    <mergeCell ref="A7:C7"/>
    <mergeCell ref="E7:K7"/>
    <mergeCell ref="A8:C8"/>
    <mergeCell ref="E8:G8"/>
    <mergeCell ref="I8:K8"/>
    <mergeCell ref="A9:K9"/>
    <mergeCell ref="A11:C11"/>
    <mergeCell ref="E11:K11"/>
    <mergeCell ref="A12:K12"/>
    <mergeCell ref="A19:B19"/>
    <mergeCell ref="A20:B20"/>
    <mergeCell ref="A22:B22"/>
    <mergeCell ref="A23:C23"/>
    <mergeCell ref="A24:K24"/>
    <mergeCell ref="A13:C13"/>
    <mergeCell ref="E13:K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E2"/>
  </hyperlink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42.0"/>
    <col customWidth="1" min="3" max="3" width="43.43"/>
    <col customWidth="1" min="4" max="4" width="34.14"/>
    <col customWidth="1" min="5" max="5" width="35.0"/>
    <col customWidth="1" min="6" max="6" width="19.29"/>
    <col customWidth="1" min="7" max="7" width="31.0"/>
    <col customWidth="1" min="8" max="8" width="27.14"/>
    <col customWidth="1" min="9" max="9" width="28.0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117" t="s">
        <v>62</v>
      </c>
      <c r="B2" s="118"/>
      <c r="C2" s="119"/>
      <c r="D2" s="121" t="s">
        <v>102</v>
      </c>
      <c r="E2" s="118"/>
      <c r="F2" s="118"/>
      <c r="G2" s="118"/>
      <c r="H2" s="118"/>
      <c r="I2" s="119"/>
    </row>
    <row r="3" ht="19.5" customHeight="1">
      <c r="A3" s="122" t="s">
        <v>103</v>
      </c>
      <c r="B3" s="118"/>
      <c r="C3" s="119"/>
      <c r="D3" s="124" t="s">
        <v>68</v>
      </c>
      <c r="E3" s="118"/>
      <c r="F3" s="118"/>
      <c r="G3" s="118"/>
      <c r="H3" s="118"/>
      <c r="I3" s="119"/>
    </row>
    <row r="4" ht="19.5" customHeight="1">
      <c r="A4" s="122" t="s">
        <v>8</v>
      </c>
      <c r="B4" s="118"/>
      <c r="C4" s="119"/>
      <c r="D4" s="124" t="s">
        <v>22</v>
      </c>
      <c r="E4" s="118"/>
      <c r="F4" s="119"/>
      <c r="G4" s="4"/>
      <c r="I4" s="4"/>
    </row>
    <row r="5" ht="19.5" customHeight="1">
      <c r="A5" s="122" t="s">
        <v>104</v>
      </c>
      <c r="B5" s="118"/>
      <c r="C5" s="119"/>
      <c r="D5" s="124" t="s">
        <v>23</v>
      </c>
      <c r="E5" s="118"/>
      <c r="F5" s="119"/>
      <c r="G5" s="126" t="s">
        <v>10</v>
      </c>
      <c r="H5" s="119"/>
      <c r="I5" s="204" t="s">
        <v>21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9"/>
    </row>
    <row r="7" ht="19.5" customHeight="1">
      <c r="A7" s="122" t="s">
        <v>106</v>
      </c>
      <c r="B7" s="118"/>
      <c r="C7" s="119"/>
      <c r="D7" s="126" t="s">
        <v>107</v>
      </c>
      <c r="E7" s="118"/>
      <c r="F7" s="118"/>
      <c r="G7" s="118"/>
      <c r="H7" s="118"/>
      <c r="I7" s="119"/>
    </row>
    <row r="8" ht="6.0" customHeight="1">
      <c r="A8" s="4"/>
      <c r="D8" s="4"/>
      <c r="G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</row>
    <row r="10" ht="19.5" customHeight="1">
      <c r="A10" s="122" t="s">
        <v>109</v>
      </c>
      <c r="B10" s="131"/>
      <c r="C10" s="131"/>
      <c r="D10" s="131">
        <v>4.13E-4</v>
      </c>
      <c r="E10" s="131"/>
      <c r="F10" s="131"/>
      <c r="G10" s="131"/>
      <c r="H10" s="131"/>
      <c r="I10" s="132"/>
    </row>
    <row r="11" ht="6.0" customHeight="1">
      <c r="A11" s="4"/>
      <c r="D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</row>
    <row r="13" ht="18.0" customHeight="1">
      <c r="A13" s="134" t="s">
        <v>111</v>
      </c>
      <c r="B13" s="118"/>
      <c r="C13" s="119"/>
      <c r="D13" s="136" t="s">
        <v>112</v>
      </c>
      <c r="E13" s="118"/>
      <c r="F13" s="118"/>
      <c r="G13" s="118"/>
      <c r="H13" s="118"/>
      <c r="I13" s="119"/>
    </row>
    <row r="14" ht="30.0" customHeight="1">
      <c r="A14" s="137" t="s">
        <v>113</v>
      </c>
      <c r="B14" s="119"/>
      <c r="C14" s="22" t="s">
        <v>114</v>
      </c>
      <c r="D14" s="22" t="s">
        <v>116</v>
      </c>
      <c r="E14" s="22" t="s">
        <v>117</v>
      </c>
      <c r="F14" s="22" t="s">
        <v>118</v>
      </c>
      <c r="G14" s="22" t="s">
        <v>120</v>
      </c>
      <c r="H14" s="22" t="s">
        <v>121</v>
      </c>
      <c r="I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0.0</v>
      </c>
      <c r="E15" s="140" t="s">
        <v>105</v>
      </c>
      <c r="F15" s="141"/>
      <c r="G15" s="142" t="s">
        <v>125</v>
      </c>
      <c r="H15" s="143">
        <f>$D10</f>
        <v>0.000413</v>
      </c>
      <c r="I15" s="144">
        <f>IF(D15="",0,D15*$D10)</f>
        <v>0</v>
      </c>
    </row>
    <row r="16" ht="21.75" customHeight="1">
      <c r="A16" s="145" t="s">
        <v>126</v>
      </c>
      <c r="B16" s="119"/>
      <c r="C16" s="123" t="s">
        <v>127</v>
      </c>
      <c r="D16" s="139">
        <v>0.0</v>
      </c>
      <c r="E16" s="146" t="s">
        <v>126</v>
      </c>
      <c r="F16" s="147"/>
      <c r="G16" s="148" t="s">
        <v>125</v>
      </c>
      <c r="H16" s="149">
        <f>$D10</f>
        <v>0.000413</v>
      </c>
      <c r="I16" s="150">
        <f>IF(D16="",0,D16*$D10)</f>
        <v>0</v>
      </c>
    </row>
    <row r="17" ht="21.75" customHeight="1">
      <c r="A17" s="138" t="s">
        <v>128</v>
      </c>
      <c r="B17" s="119"/>
      <c r="C17" s="123" t="s">
        <v>129</v>
      </c>
      <c r="D17" s="139">
        <v>0.0</v>
      </c>
      <c r="E17" s="140" t="s">
        <v>130</v>
      </c>
      <c r="F17" s="141"/>
      <c r="G17" s="142" t="s">
        <v>125</v>
      </c>
      <c r="H17" s="143">
        <f>$D10</f>
        <v>0.000413</v>
      </c>
      <c r="I17" s="144">
        <f>IF(D17="",0,D17*$D10)</f>
        <v>0</v>
      </c>
    </row>
    <row r="18" ht="21.75" customHeight="1">
      <c r="A18" s="145" t="s">
        <v>131</v>
      </c>
      <c r="B18" s="119"/>
      <c r="C18" s="123" t="s">
        <v>132</v>
      </c>
      <c r="D18" s="139">
        <v>0.0</v>
      </c>
      <c r="E18" s="146" t="s">
        <v>149</v>
      </c>
      <c r="F18" s="147"/>
      <c r="G18" s="148" t="s">
        <v>125</v>
      </c>
      <c r="H18" s="149">
        <f>$D10</f>
        <v>0.000413</v>
      </c>
      <c r="I18" s="150">
        <f>IF(D18="",0,D18*$D10)</f>
        <v>0</v>
      </c>
    </row>
    <row r="19" ht="21.75" customHeight="1">
      <c r="A19" s="138" t="s">
        <v>150</v>
      </c>
      <c r="B19" s="119"/>
      <c r="C19" s="123" t="s">
        <v>138</v>
      </c>
      <c r="D19" s="139">
        <v>0.0</v>
      </c>
      <c r="E19" s="140" t="s">
        <v>139</v>
      </c>
      <c r="F19" s="141"/>
      <c r="G19" s="142" t="s">
        <v>125</v>
      </c>
      <c r="H19" s="143">
        <f>$D10</f>
        <v>0.000413</v>
      </c>
      <c r="I19" s="144">
        <f>IF(D19="",0,D19*$D10)</f>
        <v>0</v>
      </c>
    </row>
    <row r="20" ht="21.75" customHeight="1">
      <c r="A20" s="145" t="s">
        <v>140</v>
      </c>
      <c r="B20" s="118"/>
      <c r="C20" s="119"/>
      <c r="D20" s="139">
        <v>0.0</v>
      </c>
      <c r="E20" s="146" t="s">
        <v>141</v>
      </c>
      <c r="F20" s="147"/>
      <c r="G20" s="148" t="s">
        <v>125</v>
      </c>
      <c r="H20" s="149">
        <f>$D10</f>
        <v>0.000413</v>
      </c>
      <c r="I20" s="150">
        <f>IF(D20="",0,D20*$D10)</f>
        <v>0</v>
      </c>
    </row>
    <row r="21" ht="21.75" customHeight="1">
      <c r="A21" s="138" t="s">
        <v>142</v>
      </c>
      <c r="B21" s="118"/>
      <c r="C21" s="118"/>
      <c r="D21" s="118"/>
      <c r="E21" s="118"/>
      <c r="F21" s="118"/>
      <c r="G21" s="118"/>
      <c r="H21" s="118"/>
      <c r="I21" s="119"/>
    </row>
    <row r="22" ht="25.5" customHeight="1">
      <c r="A22" s="157" t="s">
        <v>143</v>
      </c>
      <c r="B22" s="118"/>
      <c r="C22" s="119"/>
      <c r="D22" s="158">
        <f>SUM(D15:D21)</f>
        <v>0</v>
      </c>
      <c r="E22" s="159" t="s">
        <v>144</v>
      </c>
      <c r="F22" s="160"/>
      <c r="G22" s="160"/>
      <c r="H22" s="160"/>
      <c r="I22" s="158">
        <f>SUM(I15:I21)</f>
        <v>0</v>
      </c>
    </row>
    <row r="23" ht="15.75" customHeight="1">
      <c r="A23" s="107" t="s">
        <v>145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I1"/>
    <mergeCell ref="A2:C2"/>
    <mergeCell ref="D2:I2"/>
    <mergeCell ref="A3:C3"/>
    <mergeCell ref="D3:I3"/>
    <mergeCell ref="D4:F4"/>
    <mergeCell ref="G4:H4"/>
    <mergeCell ref="A4:C4"/>
    <mergeCell ref="A5:C5"/>
    <mergeCell ref="D5:F5"/>
    <mergeCell ref="G5:H5"/>
    <mergeCell ref="A6:I6"/>
    <mergeCell ref="A7:C7"/>
    <mergeCell ref="D7:I7"/>
    <mergeCell ref="A8:C8"/>
    <mergeCell ref="D8:F8"/>
    <mergeCell ref="G8:I8"/>
    <mergeCell ref="A9:I9"/>
    <mergeCell ref="A11:C11"/>
    <mergeCell ref="D11:I11"/>
    <mergeCell ref="A12:I12"/>
    <mergeCell ref="A19:B19"/>
    <mergeCell ref="A20:C20"/>
    <mergeCell ref="A21:I21"/>
    <mergeCell ref="A22:C22"/>
    <mergeCell ref="A23:I23"/>
    <mergeCell ref="A13:C13"/>
    <mergeCell ref="D13:I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D2"/>
  </hyperlink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50.29"/>
    <col customWidth="1" min="3" max="3" width="51.71"/>
    <col customWidth="1" min="4" max="4" width="41.71"/>
    <col customWidth="1" min="5" max="5" width="39.86"/>
    <col customWidth="1" min="6" max="6" width="22.43"/>
    <col customWidth="1" min="7" max="7" width="40.86"/>
    <col customWidth="1" min="8" max="8" width="25.86"/>
    <col customWidth="1" min="9" max="9" width="28.43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117" t="s">
        <v>62</v>
      </c>
      <c r="B2" s="118"/>
      <c r="C2" s="119"/>
      <c r="D2" s="121" t="s">
        <v>102</v>
      </c>
      <c r="E2" s="118"/>
      <c r="F2" s="118"/>
      <c r="G2" s="118"/>
      <c r="H2" s="118"/>
      <c r="I2" s="119"/>
    </row>
    <row r="3" ht="19.5" customHeight="1">
      <c r="A3" s="122" t="s">
        <v>103</v>
      </c>
      <c r="B3" s="118"/>
      <c r="C3" s="119"/>
      <c r="D3" s="124" t="s">
        <v>85</v>
      </c>
      <c r="E3" s="118"/>
      <c r="F3" s="118"/>
      <c r="G3" s="118"/>
      <c r="H3" s="118"/>
      <c r="I3" s="119"/>
    </row>
    <row r="4" ht="19.5" customHeight="1">
      <c r="A4" s="122" t="s">
        <v>8</v>
      </c>
      <c r="B4" s="118"/>
      <c r="C4" s="119"/>
      <c r="D4" s="124" t="s">
        <v>46</v>
      </c>
      <c r="E4" s="118"/>
      <c r="F4" s="119"/>
      <c r="G4" s="4"/>
      <c r="I4" s="4"/>
    </row>
    <row r="5" ht="19.5" customHeight="1">
      <c r="A5" s="122" t="s">
        <v>104</v>
      </c>
      <c r="B5" s="118"/>
      <c r="C5" s="119"/>
      <c r="D5" s="124" t="s">
        <v>32</v>
      </c>
      <c r="E5" s="118"/>
      <c r="F5" s="119"/>
      <c r="G5" s="126" t="s">
        <v>10</v>
      </c>
      <c r="H5" s="119"/>
      <c r="I5" s="204" t="s">
        <v>21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9"/>
    </row>
    <row r="7" ht="19.5" customHeight="1">
      <c r="A7" s="122" t="s">
        <v>106</v>
      </c>
      <c r="B7" s="118"/>
      <c r="C7" s="119"/>
      <c r="D7" s="126" t="s">
        <v>107</v>
      </c>
      <c r="E7" s="118"/>
      <c r="F7" s="118"/>
      <c r="G7" s="118"/>
      <c r="H7" s="118"/>
      <c r="I7" s="119"/>
    </row>
    <row r="8" ht="6.0" customHeight="1">
      <c r="A8" s="4"/>
      <c r="D8" s="4"/>
      <c r="G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</row>
    <row r="10" ht="19.5" customHeight="1">
      <c r="A10" s="122" t="s">
        <v>109</v>
      </c>
      <c r="B10" s="131"/>
      <c r="C10" s="131"/>
      <c r="D10" s="131">
        <v>4.13E-4</v>
      </c>
      <c r="E10" s="131"/>
      <c r="F10" s="131"/>
      <c r="G10" s="131"/>
      <c r="H10" s="131"/>
      <c r="I10" s="132"/>
    </row>
    <row r="11" ht="6.0" customHeight="1">
      <c r="A11" s="4"/>
      <c r="D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</row>
    <row r="13" ht="18.0" customHeight="1">
      <c r="A13" s="134" t="s">
        <v>111</v>
      </c>
      <c r="B13" s="118"/>
      <c r="C13" s="119"/>
      <c r="D13" s="136" t="s">
        <v>112</v>
      </c>
      <c r="E13" s="118"/>
      <c r="F13" s="118"/>
      <c r="G13" s="118"/>
      <c r="H13" s="118"/>
      <c r="I13" s="119"/>
    </row>
    <row r="14" ht="30.0" customHeight="1">
      <c r="A14" s="137" t="s">
        <v>113</v>
      </c>
      <c r="B14" s="119"/>
      <c r="C14" s="22" t="s">
        <v>114</v>
      </c>
      <c r="D14" s="22" t="s">
        <v>116</v>
      </c>
      <c r="E14" s="22" t="s">
        <v>117</v>
      </c>
      <c r="F14" s="22" t="s">
        <v>118</v>
      </c>
      <c r="G14" s="22" t="s">
        <v>120</v>
      </c>
      <c r="H14" s="22" t="s">
        <v>121</v>
      </c>
      <c r="I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0.0</v>
      </c>
      <c r="E15" s="140" t="s">
        <v>105</v>
      </c>
      <c r="F15" s="141"/>
      <c r="G15" s="142" t="s">
        <v>125</v>
      </c>
      <c r="H15" s="143">
        <f>$D10</f>
        <v>0.000413</v>
      </c>
      <c r="I15" s="144">
        <f>IF(D15="",0,D15*$D10)</f>
        <v>0</v>
      </c>
    </row>
    <row r="16" ht="21.75" customHeight="1">
      <c r="A16" s="145" t="s">
        <v>126</v>
      </c>
      <c r="B16" s="119"/>
      <c r="C16" s="123" t="s">
        <v>127</v>
      </c>
      <c r="D16" s="139">
        <v>0.0</v>
      </c>
      <c r="E16" s="146" t="s">
        <v>126</v>
      </c>
      <c r="F16" s="147"/>
      <c r="G16" s="148" t="s">
        <v>125</v>
      </c>
      <c r="H16" s="149">
        <f>$D10</f>
        <v>0.000413</v>
      </c>
      <c r="I16" s="150">
        <f>IF(D16="",0,D16*$D10)</f>
        <v>0</v>
      </c>
    </row>
    <row r="17" ht="21.75" customHeight="1">
      <c r="A17" s="138" t="s">
        <v>128</v>
      </c>
      <c r="B17" s="119"/>
      <c r="C17" s="123" t="s">
        <v>129</v>
      </c>
      <c r="D17" s="139">
        <v>0.0</v>
      </c>
      <c r="E17" s="140" t="s">
        <v>130</v>
      </c>
      <c r="F17" s="141"/>
      <c r="G17" s="142" t="s">
        <v>125</v>
      </c>
      <c r="H17" s="143">
        <f>$D10</f>
        <v>0.000413</v>
      </c>
      <c r="I17" s="144">
        <f>IF(D17="",0,D17*$D10)</f>
        <v>0</v>
      </c>
    </row>
    <row r="18" ht="21.75" customHeight="1">
      <c r="A18" s="145" t="s">
        <v>131</v>
      </c>
      <c r="B18" s="119"/>
      <c r="C18" s="123" t="s">
        <v>132</v>
      </c>
      <c r="D18" s="139">
        <v>0.0</v>
      </c>
      <c r="E18" s="146" t="s">
        <v>149</v>
      </c>
      <c r="F18" s="147"/>
      <c r="G18" s="148" t="s">
        <v>125</v>
      </c>
      <c r="H18" s="149">
        <f>$D10</f>
        <v>0.000413</v>
      </c>
      <c r="I18" s="150">
        <f>IF(D18="",0,D18*$D10)</f>
        <v>0</v>
      </c>
    </row>
    <row r="19" ht="21.75" customHeight="1">
      <c r="A19" s="138" t="s">
        <v>150</v>
      </c>
      <c r="B19" s="119"/>
      <c r="C19" s="123" t="s">
        <v>138</v>
      </c>
      <c r="D19" s="139">
        <v>0.0</v>
      </c>
      <c r="E19" s="140" t="s">
        <v>139</v>
      </c>
      <c r="F19" s="141"/>
      <c r="G19" s="142" t="s">
        <v>125</v>
      </c>
      <c r="H19" s="143">
        <f>$D10</f>
        <v>0.000413</v>
      </c>
      <c r="I19" s="144">
        <f>IF(D19="",0,D19*$D10)</f>
        <v>0</v>
      </c>
    </row>
    <row r="20" ht="21.75" customHeight="1">
      <c r="A20" s="145" t="s">
        <v>140</v>
      </c>
      <c r="B20" s="118"/>
      <c r="C20" s="119"/>
      <c r="D20" s="139">
        <v>0.0</v>
      </c>
      <c r="E20" s="146" t="s">
        <v>141</v>
      </c>
      <c r="F20" s="147"/>
      <c r="G20" s="148" t="s">
        <v>125</v>
      </c>
      <c r="H20" s="149">
        <f>$D10</f>
        <v>0.000413</v>
      </c>
      <c r="I20" s="150">
        <f>IF(D20="",0,D20*$D10)</f>
        <v>0</v>
      </c>
    </row>
    <row r="21" ht="21.75" customHeight="1">
      <c r="A21" s="138" t="s">
        <v>142</v>
      </c>
      <c r="B21" s="118"/>
      <c r="C21" s="118"/>
      <c r="D21" s="118"/>
      <c r="E21" s="118"/>
      <c r="F21" s="118"/>
      <c r="G21" s="118"/>
      <c r="H21" s="118"/>
      <c r="I21" s="119"/>
    </row>
    <row r="22" ht="25.5" customHeight="1">
      <c r="A22" s="157" t="s">
        <v>143</v>
      </c>
      <c r="B22" s="118"/>
      <c r="C22" s="119"/>
      <c r="D22" s="158">
        <f>SUM(D15:D21)</f>
        <v>0</v>
      </c>
      <c r="E22" s="159" t="s">
        <v>144</v>
      </c>
      <c r="F22" s="160"/>
      <c r="G22" s="160"/>
      <c r="H22" s="160"/>
      <c r="I22" s="158">
        <f>SUM(I15:I21)</f>
        <v>0</v>
      </c>
    </row>
    <row r="23" ht="15.75" customHeight="1">
      <c r="A23" s="107" t="s">
        <v>145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I1"/>
    <mergeCell ref="A2:C2"/>
    <mergeCell ref="D2:I2"/>
    <mergeCell ref="A3:C3"/>
    <mergeCell ref="D3:I3"/>
    <mergeCell ref="D4:F4"/>
    <mergeCell ref="G4:H4"/>
    <mergeCell ref="A4:C4"/>
    <mergeCell ref="A5:C5"/>
    <mergeCell ref="D5:F5"/>
    <mergeCell ref="G5:H5"/>
    <mergeCell ref="A6:I6"/>
    <mergeCell ref="A7:C7"/>
    <mergeCell ref="D7:I7"/>
    <mergeCell ref="A8:C8"/>
    <mergeCell ref="D8:F8"/>
    <mergeCell ref="G8:I8"/>
    <mergeCell ref="A9:I9"/>
    <mergeCell ref="A11:C11"/>
    <mergeCell ref="D11:I11"/>
    <mergeCell ref="A12:I12"/>
    <mergeCell ref="A19:B19"/>
    <mergeCell ref="A20:C20"/>
    <mergeCell ref="A21:I21"/>
    <mergeCell ref="A22:C22"/>
    <mergeCell ref="A23:I23"/>
    <mergeCell ref="A13:C13"/>
    <mergeCell ref="D13:I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D2"/>
  </hyperlink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75.29"/>
    <col customWidth="1" min="3" max="3" width="61.29"/>
    <col customWidth="1" min="4" max="4" width="52.86"/>
    <col customWidth="1" min="5" max="5" width="43.0"/>
    <col customWidth="1" min="6" max="6" width="22.86"/>
    <col customWidth="1" min="7" max="7" width="36.86"/>
    <col customWidth="1" min="8" max="8" width="25.14"/>
    <col customWidth="1" min="9" max="9" width="30.86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117" t="s">
        <v>62</v>
      </c>
      <c r="B2" s="118"/>
      <c r="C2" s="119"/>
      <c r="D2" s="121" t="s">
        <v>102</v>
      </c>
      <c r="E2" s="118"/>
      <c r="F2" s="118"/>
      <c r="G2" s="118"/>
      <c r="H2" s="118"/>
      <c r="I2" s="119"/>
    </row>
    <row r="3" ht="19.5" customHeight="1">
      <c r="A3" s="122" t="s">
        <v>103</v>
      </c>
      <c r="B3" s="118"/>
      <c r="C3" s="119"/>
      <c r="D3" s="124" t="s">
        <v>89</v>
      </c>
      <c r="E3" s="118"/>
      <c r="F3" s="118"/>
      <c r="G3" s="118"/>
      <c r="H3" s="118"/>
      <c r="I3" s="119"/>
    </row>
    <row r="4" ht="19.5" customHeight="1">
      <c r="A4" s="122" t="s">
        <v>8</v>
      </c>
      <c r="B4" s="118"/>
      <c r="C4" s="119"/>
      <c r="D4" s="124" t="s">
        <v>48</v>
      </c>
      <c r="E4" s="118"/>
      <c r="F4" s="119"/>
      <c r="G4" s="4"/>
      <c r="I4" s="4"/>
    </row>
    <row r="5" ht="19.5" customHeight="1">
      <c r="A5" s="122" t="s">
        <v>104</v>
      </c>
      <c r="B5" s="118"/>
      <c r="C5" s="119"/>
      <c r="D5" s="124" t="s">
        <v>20</v>
      </c>
      <c r="E5" s="118"/>
      <c r="F5" s="119"/>
      <c r="G5" s="126" t="s">
        <v>10</v>
      </c>
      <c r="H5" s="119"/>
      <c r="I5" s="204" t="s">
        <v>21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9"/>
    </row>
    <row r="7" ht="19.5" customHeight="1">
      <c r="A7" s="122" t="s">
        <v>106</v>
      </c>
      <c r="B7" s="118"/>
      <c r="C7" s="119"/>
      <c r="D7" s="126" t="s">
        <v>107</v>
      </c>
      <c r="E7" s="118"/>
      <c r="F7" s="118"/>
      <c r="G7" s="118"/>
      <c r="H7" s="118"/>
      <c r="I7" s="119"/>
    </row>
    <row r="8" ht="6.0" customHeight="1">
      <c r="A8" s="4"/>
      <c r="D8" s="4"/>
      <c r="G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</row>
    <row r="10" ht="19.5" customHeight="1">
      <c r="A10" s="122" t="s">
        <v>109</v>
      </c>
      <c r="B10" s="131"/>
      <c r="C10" s="131"/>
      <c r="D10" s="131">
        <v>4.13E-4</v>
      </c>
      <c r="E10" s="131"/>
      <c r="F10" s="131"/>
      <c r="G10" s="131"/>
      <c r="H10" s="131"/>
      <c r="I10" s="132"/>
    </row>
    <row r="11" ht="6.0" customHeight="1">
      <c r="A11" s="4"/>
      <c r="D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</row>
    <row r="13" ht="18.0" customHeight="1">
      <c r="A13" s="134" t="s">
        <v>111</v>
      </c>
      <c r="B13" s="118"/>
      <c r="C13" s="119"/>
      <c r="D13" s="136" t="s">
        <v>112</v>
      </c>
      <c r="E13" s="118"/>
      <c r="F13" s="118"/>
      <c r="G13" s="118"/>
      <c r="H13" s="118"/>
      <c r="I13" s="119"/>
    </row>
    <row r="14" ht="30.0" customHeight="1">
      <c r="A14" s="137" t="s">
        <v>113</v>
      </c>
      <c r="B14" s="119"/>
      <c r="C14" s="22" t="s">
        <v>114</v>
      </c>
      <c r="D14" s="22" t="s">
        <v>116</v>
      </c>
      <c r="E14" s="22" t="s">
        <v>117</v>
      </c>
      <c r="F14" s="22" t="s">
        <v>118</v>
      </c>
      <c r="G14" s="22" t="s">
        <v>120</v>
      </c>
      <c r="H14" s="22" t="s">
        <v>121</v>
      </c>
      <c r="I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0.0</v>
      </c>
      <c r="E15" s="140" t="s">
        <v>105</v>
      </c>
      <c r="F15" s="141"/>
      <c r="G15" s="142" t="s">
        <v>125</v>
      </c>
      <c r="H15" s="143">
        <f>$D10</f>
        <v>0.000413</v>
      </c>
      <c r="I15" s="144">
        <f>IF(D15="",0,D15*$D10)</f>
        <v>0</v>
      </c>
    </row>
    <row r="16" ht="21.75" customHeight="1">
      <c r="A16" s="145" t="s">
        <v>126</v>
      </c>
      <c r="B16" s="119"/>
      <c r="C16" s="123" t="s">
        <v>127</v>
      </c>
      <c r="D16" s="139">
        <v>0.0</v>
      </c>
      <c r="E16" s="146" t="s">
        <v>126</v>
      </c>
      <c r="F16" s="147"/>
      <c r="G16" s="148" t="s">
        <v>125</v>
      </c>
      <c r="H16" s="149">
        <f>$D10</f>
        <v>0.000413</v>
      </c>
      <c r="I16" s="150">
        <f>IF(D16="",0,D16*$D10)</f>
        <v>0</v>
      </c>
    </row>
    <row r="17" ht="21.75" customHeight="1">
      <c r="A17" s="138" t="s">
        <v>128</v>
      </c>
      <c r="B17" s="119"/>
      <c r="C17" s="123" t="s">
        <v>129</v>
      </c>
      <c r="D17" s="139">
        <v>0.0</v>
      </c>
      <c r="E17" s="140" t="s">
        <v>130</v>
      </c>
      <c r="F17" s="141"/>
      <c r="G17" s="142" t="s">
        <v>125</v>
      </c>
      <c r="H17" s="143">
        <f>$D10</f>
        <v>0.000413</v>
      </c>
      <c r="I17" s="144">
        <f>IF(D17="",0,D17*$D10)</f>
        <v>0</v>
      </c>
    </row>
    <row r="18" ht="21.75" customHeight="1">
      <c r="A18" s="145" t="s">
        <v>131</v>
      </c>
      <c r="B18" s="119"/>
      <c r="C18" s="123" t="s">
        <v>132</v>
      </c>
      <c r="D18" s="139">
        <v>0.0</v>
      </c>
      <c r="E18" s="146" t="s">
        <v>149</v>
      </c>
      <c r="F18" s="147"/>
      <c r="G18" s="148" t="s">
        <v>125</v>
      </c>
      <c r="H18" s="149">
        <f>$D10</f>
        <v>0.000413</v>
      </c>
      <c r="I18" s="150">
        <f>IF(D18="",0,D18*$D10)</f>
        <v>0</v>
      </c>
    </row>
    <row r="19" ht="21.75" customHeight="1">
      <c r="A19" s="138" t="s">
        <v>150</v>
      </c>
      <c r="B19" s="119"/>
      <c r="C19" s="123" t="s">
        <v>138</v>
      </c>
      <c r="D19" s="139">
        <v>0.0</v>
      </c>
      <c r="E19" s="140" t="s">
        <v>139</v>
      </c>
      <c r="F19" s="141"/>
      <c r="G19" s="142" t="s">
        <v>125</v>
      </c>
      <c r="H19" s="143">
        <f>$D10</f>
        <v>0.000413</v>
      </c>
      <c r="I19" s="144">
        <f>IF(D19="",0,D19*$D10)</f>
        <v>0</v>
      </c>
    </row>
    <row r="20" ht="21.75" customHeight="1">
      <c r="A20" s="145" t="s">
        <v>140</v>
      </c>
      <c r="B20" s="118"/>
      <c r="C20" s="119"/>
      <c r="D20" s="139">
        <v>0.0</v>
      </c>
      <c r="E20" s="146" t="s">
        <v>141</v>
      </c>
      <c r="F20" s="147"/>
      <c r="G20" s="148" t="s">
        <v>125</v>
      </c>
      <c r="H20" s="149">
        <f>$D10</f>
        <v>0.000413</v>
      </c>
      <c r="I20" s="150">
        <f>IF(D20="",0,D20*$D10)</f>
        <v>0</v>
      </c>
    </row>
    <row r="21" ht="21.75" customHeight="1">
      <c r="A21" s="138" t="s">
        <v>142</v>
      </c>
      <c r="B21" s="118"/>
      <c r="C21" s="118"/>
      <c r="D21" s="118"/>
      <c r="E21" s="118"/>
      <c r="F21" s="118"/>
      <c r="G21" s="118"/>
      <c r="H21" s="118"/>
      <c r="I21" s="119"/>
    </row>
    <row r="22" ht="25.5" customHeight="1">
      <c r="A22" s="157" t="s">
        <v>143</v>
      </c>
      <c r="B22" s="118"/>
      <c r="C22" s="119"/>
      <c r="D22" s="158">
        <f>SUM(D15:D21)</f>
        <v>0</v>
      </c>
      <c r="E22" s="159" t="s">
        <v>144</v>
      </c>
      <c r="F22" s="160"/>
      <c r="G22" s="160"/>
      <c r="H22" s="160"/>
      <c r="I22" s="158">
        <f>SUM(I15:I21)</f>
        <v>0</v>
      </c>
    </row>
    <row r="23" ht="15.75" customHeight="1">
      <c r="A23" s="107" t="s">
        <v>145</v>
      </c>
    </row>
    <row r="24" ht="18.75" customHeight="1">
      <c r="A24" s="4"/>
      <c r="B24" s="4"/>
      <c r="C24" s="4"/>
      <c r="D24" s="4"/>
      <c r="E24" s="4"/>
      <c r="F24" s="4"/>
      <c r="G24" s="4"/>
      <c r="H24" s="4"/>
      <c r="I24" s="4"/>
    </row>
    <row r="25" ht="18.75" customHeight="1">
      <c r="A25" s="4"/>
      <c r="B25" s="4"/>
      <c r="C25" s="4"/>
      <c r="D25" s="4"/>
      <c r="E25" s="4"/>
      <c r="F25" s="4"/>
      <c r="G25" s="4"/>
      <c r="H25" s="4"/>
      <c r="I25" s="4"/>
    </row>
    <row r="26" ht="18.75" customHeight="1">
      <c r="A26" s="4"/>
      <c r="B26" s="4"/>
      <c r="C26" s="4"/>
      <c r="D26" s="4"/>
      <c r="E26" s="4"/>
      <c r="F26" s="4"/>
      <c r="G26" s="4"/>
      <c r="H26" s="4"/>
      <c r="I26" s="4"/>
    </row>
    <row r="27" ht="18.75" customHeight="1">
      <c r="A27" s="4"/>
      <c r="B27" s="4"/>
      <c r="C27" s="4"/>
      <c r="D27" s="4"/>
      <c r="E27" s="4"/>
      <c r="F27" s="4"/>
      <c r="G27" s="4"/>
      <c r="H27" s="4"/>
      <c r="I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4"/>
    </row>
    <row r="29" ht="18.75" customHeight="1">
      <c r="A29" s="4"/>
      <c r="B29" s="4"/>
      <c r="C29" s="4"/>
      <c r="D29" s="4"/>
      <c r="E29" s="4"/>
      <c r="F29" s="4"/>
      <c r="G29" s="4"/>
      <c r="H29" s="4"/>
      <c r="I29" s="4"/>
    </row>
    <row r="30" ht="18.75" customHeight="1">
      <c r="A30" s="4"/>
      <c r="B30" s="4"/>
      <c r="C30" s="4"/>
      <c r="D30" s="4"/>
      <c r="E30" s="4"/>
      <c r="F30" s="4"/>
      <c r="G30" s="4"/>
      <c r="H30" s="4"/>
      <c r="I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</row>
    <row r="32" ht="18.75" customHeight="1">
      <c r="A32" s="4"/>
      <c r="B32" s="4"/>
      <c r="C32" s="4"/>
      <c r="D32" s="4"/>
      <c r="E32" s="4"/>
      <c r="F32" s="4"/>
      <c r="G32" s="4"/>
      <c r="H32" s="4"/>
      <c r="I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4"/>
    </row>
    <row r="34" ht="18.75" customHeight="1">
      <c r="A34" s="4"/>
      <c r="B34" s="4"/>
      <c r="C34" s="4"/>
      <c r="D34" s="4"/>
      <c r="E34" s="4"/>
      <c r="F34" s="4"/>
      <c r="G34" s="4"/>
      <c r="H34" s="4"/>
      <c r="I34" s="4"/>
    </row>
    <row r="35" ht="18.75" customHeight="1">
      <c r="A35" s="4"/>
      <c r="B35" s="4"/>
      <c r="C35" s="4"/>
      <c r="D35" s="4"/>
      <c r="E35" s="4"/>
      <c r="F35" s="4"/>
      <c r="G35" s="4"/>
      <c r="H35" s="4"/>
      <c r="I35" s="4"/>
    </row>
    <row r="36" ht="18.75" customHeight="1">
      <c r="A36" s="4"/>
      <c r="B36" s="4"/>
      <c r="C36" s="4"/>
      <c r="D36" s="4"/>
      <c r="E36" s="4"/>
      <c r="F36" s="4"/>
      <c r="G36" s="4"/>
      <c r="H36" s="4"/>
      <c r="I36" s="4"/>
    </row>
    <row r="37" ht="18.75" customHeight="1">
      <c r="A37" s="4"/>
      <c r="B37" s="4"/>
      <c r="C37" s="4"/>
      <c r="D37" s="4"/>
      <c r="E37" s="4"/>
      <c r="F37" s="4"/>
      <c r="G37" s="4"/>
      <c r="H37" s="4"/>
      <c r="I37" s="4"/>
    </row>
    <row r="38" ht="18.75" customHeight="1">
      <c r="A38" s="4"/>
      <c r="B38" s="4"/>
      <c r="C38" s="4"/>
      <c r="D38" s="4"/>
      <c r="E38" s="4"/>
      <c r="F38" s="4"/>
      <c r="G38" s="4"/>
      <c r="H38" s="4"/>
      <c r="I38" s="4"/>
    </row>
    <row r="39" ht="18.75" customHeight="1">
      <c r="A39" s="4"/>
      <c r="B39" s="4"/>
      <c r="C39" s="4"/>
      <c r="D39" s="4"/>
      <c r="E39" s="4"/>
      <c r="F39" s="4"/>
      <c r="G39" s="4"/>
      <c r="H39" s="4"/>
      <c r="I39" s="4"/>
    </row>
    <row r="40" ht="18.75" customHeight="1">
      <c r="A40" s="4"/>
      <c r="B40" s="4"/>
      <c r="C40" s="4"/>
      <c r="D40" s="4"/>
      <c r="E40" s="4"/>
      <c r="F40" s="4"/>
      <c r="G40" s="4"/>
      <c r="H40" s="4"/>
      <c r="I40" s="4"/>
    </row>
    <row r="41" ht="18.75" customHeight="1">
      <c r="A41" s="4"/>
      <c r="B41" s="4"/>
      <c r="C41" s="4"/>
      <c r="D41" s="4"/>
      <c r="E41" s="4"/>
      <c r="F41" s="4"/>
      <c r="G41" s="4"/>
      <c r="H41" s="4"/>
      <c r="I41" s="4"/>
    </row>
    <row r="42" ht="18.75" customHeight="1">
      <c r="A42" s="4"/>
      <c r="B42" s="4"/>
      <c r="C42" s="4"/>
      <c r="D42" s="4"/>
      <c r="E42" s="4"/>
      <c r="F42" s="4"/>
      <c r="G42" s="4"/>
      <c r="H42" s="4"/>
      <c r="I42" s="4"/>
    </row>
    <row r="43" ht="18.75" customHeight="1">
      <c r="A43" s="4"/>
      <c r="B43" s="4"/>
      <c r="C43" s="4"/>
      <c r="D43" s="4"/>
      <c r="E43" s="4"/>
      <c r="F43" s="4"/>
      <c r="G43" s="4"/>
      <c r="H43" s="4"/>
      <c r="I43" s="4"/>
    </row>
    <row r="44" ht="18.75" customHeight="1">
      <c r="A44" s="4"/>
      <c r="B44" s="4"/>
      <c r="C44" s="4"/>
      <c r="D44" s="4"/>
      <c r="E44" s="4"/>
      <c r="F44" s="4"/>
      <c r="G44" s="4"/>
      <c r="H44" s="4"/>
      <c r="I44" s="4"/>
    </row>
    <row r="45" ht="18.75" customHeight="1">
      <c r="A45" s="4"/>
      <c r="B45" s="4"/>
      <c r="C45" s="4"/>
      <c r="D45" s="4"/>
      <c r="E45" s="4"/>
      <c r="F45" s="4"/>
      <c r="G45" s="4"/>
      <c r="H45" s="4"/>
      <c r="I45" s="4"/>
    </row>
    <row r="46" ht="18.75" customHeight="1">
      <c r="A46" s="4"/>
      <c r="B46" s="4"/>
      <c r="C46" s="4"/>
      <c r="D46" s="4"/>
      <c r="E46" s="4"/>
      <c r="F46" s="4"/>
      <c r="G46" s="4"/>
      <c r="H46" s="4"/>
      <c r="I46" s="4"/>
    </row>
    <row r="47" ht="18.75" customHeight="1">
      <c r="A47" s="4"/>
      <c r="B47" s="4"/>
      <c r="C47" s="4"/>
      <c r="D47" s="4"/>
      <c r="E47" s="4"/>
      <c r="F47" s="4"/>
      <c r="G47" s="4"/>
      <c r="H47" s="4"/>
      <c r="I47" s="4"/>
    </row>
    <row r="48" ht="18.75" customHeight="1">
      <c r="A48" s="4"/>
      <c r="B48" s="4"/>
      <c r="C48" s="4"/>
      <c r="D48" s="4"/>
      <c r="E48" s="4"/>
      <c r="F48" s="4"/>
      <c r="G48" s="4"/>
      <c r="H48" s="4"/>
      <c r="I48" s="4"/>
    </row>
    <row r="49" ht="18.75" customHeight="1">
      <c r="A49" s="4"/>
      <c r="B49" s="4"/>
      <c r="C49" s="4"/>
      <c r="D49" s="4"/>
      <c r="E49" s="4"/>
      <c r="F49" s="4"/>
      <c r="G49" s="4"/>
      <c r="H49" s="4"/>
      <c r="I49" s="4"/>
    </row>
    <row r="50" ht="18.75" customHeight="1">
      <c r="A50" s="4"/>
      <c r="B50" s="4"/>
      <c r="C50" s="4"/>
      <c r="D50" s="4"/>
      <c r="E50" s="4"/>
      <c r="F50" s="4"/>
      <c r="G50" s="4"/>
      <c r="H50" s="4"/>
      <c r="I50" s="4"/>
    </row>
    <row r="51" ht="18.75" customHeight="1">
      <c r="A51" s="4"/>
      <c r="B51" s="4"/>
      <c r="C51" s="4"/>
      <c r="D51" s="4"/>
      <c r="E51" s="4"/>
      <c r="F51" s="4"/>
      <c r="G51" s="4"/>
      <c r="H51" s="4"/>
      <c r="I51" s="4"/>
    </row>
    <row r="52" ht="18.75" customHeight="1">
      <c r="A52" s="4"/>
      <c r="B52" s="4"/>
      <c r="C52" s="4"/>
      <c r="D52" s="4"/>
      <c r="E52" s="4"/>
      <c r="F52" s="4"/>
      <c r="G52" s="4"/>
      <c r="H52" s="4"/>
      <c r="I52" s="4"/>
    </row>
    <row r="53" ht="18.75" customHeight="1">
      <c r="A53" s="4"/>
      <c r="B53" s="4"/>
      <c r="C53" s="4"/>
      <c r="D53" s="4"/>
      <c r="E53" s="4"/>
      <c r="F53" s="4"/>
      <c r="G53" s="4"/>
      <c r="H53" s="4"/>
      <c r="I53" s="4"/>
    </row>
    <row r="54" ht="18.75" customHeight="1">
      <c r="A54" s="4"/>
      <c r="B54" s="4"/>
      <c r="C54" s="4"/>
      <c r="D54" s="4"/>
      <c r="E54" s="4"/>
      <c r="F54" s="4"/>
      <c r="G54" s="4"/>
      <c r="H54" s="4"/>
      <c r="I54" s="4"/>
    </row>
    <row r="55" ht="18.75" customHeight="1">
      <c r="A55" s="4"/>
      <c r="B55" s="4"/>
      <c r="C55" s="4"/>
      <c r="D55" s="4"/>
      <c r="E55" s="4"/>
      <c r="F55" s="4"/>
      <c r="G55" s="4"/>
      <c r="H55" s="4"/>
      <c r="I55" s="4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4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4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4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4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4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4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4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4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4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4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4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4"/>
    </row>
    <row r="68" ht="18.75" customHeight="1">
      <c r="A68" s="4"/>
      <c r="B68" s="4"/>
      <c r="C68" s="4"/>
      <c r="D68" s="4"/>
      <c r="E68" s="4"/>
      <c r="F68" s="4"/>
      <c r="G68" s="4"/>
      <c r="H68" s="4"/>
      <c r="I68" s="4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4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4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4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4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4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4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4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4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4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4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4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4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4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4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4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4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4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4"/>
    </row>
    <row r="87" ht="18.75" customHeight="1">
      <c r="A87" s="4"/>
      <c r="B87" s="4"/>
      <c r="C87" s="4"/>
      <c r="D87" s="4"/>
      <c r="E87" s="4"/>
      <c r="F87" s="4"/>
      <c r="G87" s="4"/>
      <c r="H87" s="4"/>
      <c r="I87" s="4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4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4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4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4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4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4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4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4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4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4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4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4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4"/>
    </row>
    <row r="101" ht="18.75" customHeight="1">
      <c r="A101" s="4"/>
      <c r="B101" s="4"/>
      <c r="C101" s="4"/>
      <c r="D101" s="4"/>
      <c r="E101" s="4"/>
      <c r="F101" s="4"/>
      <c r="G101" s="4"/>
      <c r="H101" s="4"/>
      <c r="I101" s="4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4"/>
    </row>
    <row r="103" ht="18.75" customHeight="1">
      <c r="A103" s="4"/>
      <c r="B103" s="4"/>
      <c r="C103" s="4"/>
      <c r="D103" s="4"/>
      <c r="E103" s="4"/>
      <c r="F103" s="4"/>
      <c r="G103" s="4"/>
      <c r="H103" s="4"/>
      <c r="I103" s="4"/>
    </row>
    <row r="104" ht="18.75" customHeight="1">
      <c r="A104" s="4"/>
      <c r="B104" s="4"/>
      <c r="C104" s="4"/>
      <c r="D104" s="4"/>
      <c r="E104" s="4"/>
      <c r="F104" s="4"/>
      <c r="G104" s="4"/>
      <c r="H104" s="4"/>
      <c r="I104" s="4"/>
    </row>
    <row r="105" ht="18.75" customHeight="1">
      <c r="A105" s="4"/>
      <c r="B105" s="4"/>
      <c r="C105" s="4"/>
      <c r="D105" s="4"/>
      <c r="E105" s="4"/>
      <c r="F105" s="4"/>
      <c r="G105" s="4"/>
      <c r="H105" s="4"/>
      <c r="I105" s="4"/>
    </row>
    <row r="106" ht="18.75" customHeight="1">
      <c r="A106" s="4"/>
      <c r="B106" s="4"/>
      <c r="C106" s="4"/>
      <c r="D106" s="4"/>
      <c r="E106" s="4"/>
      <c r="F106" s="4"/>
      <c r="G106" s="4"/>
      <c r="H106" s="4"/>
      <c r="I106" s="4"/>
    </row>
    <row r="107" ht="18.75" customHeight="1">
      <c r="A107" s="4"/>
      <c r="B107" s="4"/>
      <c r="C107" s="4"/>
      <c r="D107" s="4"/>
      <c r="E107" s="4"/>
      <c r="F107" s="4"/>
      <c r="G107" s="4"/>
      <c r="H107" s="4"/>
      <c r="I107" s="4"/>
    </row>
    <row r="108" ht="18.75" customHeight="1">
      <c r="A108" s="4"/>
      <c r="B108" s="4"/>
      <c r="C108" s="4"/>
      <c r="D108" s="4"/>
      <c r="E108" s="4"/>
      <c r="F108" s="4"/>
      <c r="G108" s="4"/>
      <c r="H108" s="4"/>
      <c r="I108" s="4"/>
    </row>
    <row r="109" ht="18.75" customHeight="1">
      <c r="A109" s="4"/>
      <c r="B109" s="4"/>
      <c r="C109" s="4"/>
      <c r="D109" s="4"/>
      <c r="E109" s="4"/>
      <c r="F109" s="4"/>
      <c r="G109" s="4"/>
      <c r="H109" s="4"/>
      <c r="I109" s="4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4"/>
    </row>
    <row r="111" ht="18.75" customHeight="1">
      <c r="A111" s="4"/>
      <c r="B111" s="4"/>
      <c r="C111" s="4"/>
      <c r="D111" s="4"/>
      <c r="E111" s="4"/>
      <c r="F111" s="4"/>
      <c r="G111" s="4"/>
      <c r="H111" s="4"/>
      <c r="I111" s="4"/>
    </row>
    <row r="112" ht="18.75" customHeight="1">
      <c r="A112" s="4"/>
      <c r="B112" s="4"/>
      <c r="C112" s="4"/>
      <c r="D112" s="4"/>
      <c r="E112" s="4"/>
      <c r="F112" s="4"/>
      <c r="G112" s="4"/>
      <c r="H112" s="4"/>
      <c r="I112" s="4"/>
    </row>
    <row r="113" ht="18.75" customHeight="1">
      <c r="A113" s="4"/>
      <c r="B113" s="4"/>
      <c r="C113" s="4"/>
      <c r="D113" s="4"/>
      <c r="E113" s="4"/>
      <c r="F113" s="4"/>
      <c r="G113" s="4"/>
      <c r="H113" s="4"/>
      <c r="I113" s="4"/>
    </row>
    <row r="114" ht="18.75" customHeight="1">
      <c r="A114" s="4"/>
      <c r="B114" s="4"/>
      <c r="C114" s="4"/>
      <c r="D114" s="4"/>
      <c r="E114" s="4"/>
      <c r="F114" s="4"/>
      <c r="G114" s="4"/>
      <c r="H114" s="4"/>
      <c r="I114" s="4"/>
    </row>
    <row r="115" ht="18.75" customHeight="1">
      <c r="A115" s="4"/>
      <c r="B115" s="4"/>
      <c r="C115" s="4"/>
      <c r="D115" s="4"/>
      <c r="E115" s="4"/>
      <c r="F115" s="4"/>
      <c r="G115" s="4"/>
      <c r="H115" s="4"/>
      <c r="I115" s="4"/>
    </row>
    <row r="116" ht="18.75" customHeight="1">
      <c r="A116" s="4"/>
      <c r="B116" s="4"/>
      <c r="C116" s="4"/>
      <c r="D116" s="4"/>
      <c r="E116" s="4"/>
      <c r="F116" s="4"/>
      <c r="G116" s="4"/>
      <c r="H116" s="4"/>
      <c r="I116" s="4"/>
    </row>
    <row r="117" ht="18.75" customHeight="1">
      <c r="A117" s="4"/>
      <c r="B117" s="4"/>
      <c r="C117" s="4"/>
      <c r="D117" s="4"/>
      <c r="E117" s="4"/>
      <c r="F117" s="4"/>
      <c r="G117" s="4"/>
      <c r="H117" s="4"/>
      <c r="I117" s="4"/>
    </row>
    <row r="118" ht="18.75" customHeight="1">
      <c r="A118" s="4"/>
      <c r="B118" s="4"/>
      <c r="C118" s="4"/>
      <c r="D118" s="4"/>
      <c r="E118" s="4"/>
      <c r="F118" s="4"/>
      <c r="G118" s="4"/>
      <c r="H118" s="4"/>
      <c r="I118" s="4"/>
    </row>
    <row r="119" ht="18.75" customHeight="1">
      <c r="A119" s="4"/>
      <c r="B119" s="4"/>
      <c r="C119" s="4"/>
      <c r="D119" s="4"/>
      <c r="E119" s="4"/>
      <c r="F119" s="4"/>
      <c r="G119" s="4"/>
      <c r="H119" s="4"/>
      <c r="I119" s="4"/>
    </row>
    <row r="120" ht="18.75" customHeight="1">
      <c r="A120" s="4"/>
      <c r="B120" s="4"/>
      <c r="C120" s="4"/>
      <c r="D120" s="4"/>
      <c r="E120" s="4"/>
      <c r="F120" s="4"/>
      <c r="G120" s="4"/>
      <c r="H120" s="4"/>
      <c r="I120" s="4"/>
    </row>
    <row r="121" ht="18.75" customHeight="1">
      <c r="A121" s="4"/>
      <c r="B121" s="4"/>
      <c r="C121" s="4"/>
      <c r="D121" s="4"/>
      <c r="E121" s="4"/>
      <c r="F121" s="4"/>
      <c r="G121" s="4"/>
      <c r="H121" s="4"/>
      <c r="I121" s="4"/>
    </row>
    <row r="122" ht="18.75" customHeight="1">
      <c r="A122" s="4"/>
      <c r="B122" s="4"/>
      <c r="C122" s="4"/>
      <c r="D122" s="4"/>
      <c r="E122" s="4"/>
      <c r="F122" s="4"/>
      <c r="G122" s="4"/>
      <c r="H122" s="4"/>
      <c r="I122" s="4"/>
    </row>
    <row r="123" ht="18.75" customHeight="1">
      <c r="A123" s="4"/>
      <c r="B123" s="4"/>
      <c r="C123" s="4"/>
      <c r="D123" s="4"/>
      <c r="E123" s="4"/>
      <c r="F123" s="4"/>
      <c r="G123" s="4"/>
      <c r="H123" s="4"/>
      <c r="I123" s="4"/>
    </row>
    <row r="124" ht="18.75" customHeight="1">
      <c r="A124" s="4"/>
      <c r="B124" s="4"/>
      <c r="C124" s="4"/>
      <c r="D124" s="4"/>
      <c r="E124" s="4"/>
      <c r="F124" s="4"/>
      <c r="G124" s="4"/>
      <c r="H124" s="4"/>
      <c r="I124" s="4"/>
    </row>
    <row r="125" ht="18.75" customHeight="1">
      <c r="A125" s="4"/>
      <c r="B125" s="4"/>
      <c r="C125" s="4"/>
      <c r="D125" s="4"/>
      <c r="E125" s="4"/>
      <c r="F125" s="4"/>
      <c r="G125" s="4"/>
      <c r="H125" s="4"/>
      <c r="I125" s="4"/>
    </row>
    <row r="126" ht="18.75" customHeight="1">
      <c r="A126" s="4"/>
      <c r="B126" s="4"/>
      <c r="C126" s="4"/>
      <c r="D126" s="4"/>
      <c r="E126" s="4"/>
      <c r="F126" s="4"/>
      <c r="G126" s="4"/>
      <c r="H126" s="4"/>
      <c r="I126" s="4"/>
    </row>
    <row r="127" ht="18.75" customHeight="1">
      <c r="A127" s="4"/>
      <c r="B127" s="4"/>
      <c r="C127" s="4"/>
      <c r="D127" s="4"/>
      <c r="E127" s="4"/>
      <c r="F127" s="4"/>
      <c r="G127" s="4"/>
      <c r="H127" s="4"/>
      <c r="I127" s="4"/>
    </row>
    <row r="128" ht="18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ht="18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ht="18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ht="18.75" customHeight="1">
      <c r="A131" s="4"/>
      <c r="B131" s="4"/>
      <c r="C131" s="4"/>
      <c r="D131" s="4"/>
      <c r="E131" s="4"/>
      <c r="F131" s="4"/>
      <c r="G131" s="4"/>
      <c r="H131" s="4"/>
      <c r="I131" s="4"/>
    </row>
    <row r="132" ht="18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ht="18.75" customHeight="1">
      <c r="A133" s="4"/>
      <c r="B133" s="4"/>
      <c r="C133" s="4"/>
      <c r="D133" s="4"/>
      <c r="E133" s="4"/>
      <c r="F133" s="4"/>
      <c r="G133" s="4"/>
      <c r="H133" s="4"/>
      <c r="I133" s="4"/>
    </row>
    <row r="134" ht="18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ht="18.75" customHeight="1">
      <c r="A135" s="4"/>
      <c r="B135" s="4"/>
      <c r="C135" s="4"/>
      <c r="D135" s="4"/>
      <c r="E135" s="4"/>
      <c r="F135" s="4"/>
      <c r="G135" s="4"/>
      <c r="H135" s="4"/>
      <c r="I135" s="4"/>
    </row>
    <row r="136" ht="18.75" customHeight="1">
      <c r="A136" s="4"/>
      <c r="B136" s="4"/>
      <c r="C136" s="4"/>
      <c r="D136" s="4"/>
      <c r="E136" s="4"/>
      <c r="F136" s="4"/>
      <c r="G136" s="4"/>
      <c r="H136" s="4"/>
      <c r="I136" s="4"/>
    </row>
    <row r="137" ht="18.75" customHeight="1">
      <c r="A137" s="4"/>
      <c r="B137" s="4"/>
      <c r="C137" s="4"/>
      <c r="D137" s="4"/>
      <c r="E137" s="4"/>
      <c r="F137" s="4"/>
      <c r="G137" s="4"/>
      <c r="H137" s="4"/>
      <c r="I137" s="4"/>
    </row>
    <row r="138" ht="18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ht="18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ht="18.75" customHeight="1">
      <c r="A140" s="4"/>
      <c r="B140" s="4"/>
      <c r="C140" s="4"/>
      <c r="D140" s="4"/>
      <c r="E140" s="4"/>
      <c r="F140" s="4"/>
      <c r="G140" s="4"/>
      <c r="H140" s="4"/>
      <c r="I140" s="4"/>
    </row>
    <row r="141" ht="18.75" customHeight="1">
      <c r="A141" s="4"/>
      <c r="B141" s="4"/>
      <c r="C141" s="4"/>
      <c r="D141" s="4"/>
      <c r="E141" s="4"/>
      <c r="F141" s="4"/>
      <c r="G141" s="4"/>
      <c r="H141" s="4"/>
      <c r="I141" s="4"/>
    </row>
    <row r="142" ht="18.75" customHeight="1">
      <c r="A142" s="4"/>
      <c r="B142" s="4"/>
      <c r="C142" s="4"/>
      <c r="D142" s="4"/>
      <c r="E142" s="4"/>
      <c r="F142" s="4"/>
      <c r="G142" s="4"/>
      <c r="H142" s="4"/>
      <c r="I142" s="4"/>
    </row>
    <row r="143" ht="18.75" customHeight="1">
      <c r="A143" s="4"/>
      <c r="B143" s="4"/>
      <c r="C143" s="4"/>
      <c r="D143" s="4"/>
      <c r="E143" s="4"/>
      <c r="F143" s="4"/>
      <c r="G143" s="4"/>
      <c r="H143" s="4"/>
      <c r="I143" s="4"/>
    </row>
    <row r="144" ht="18.75" customHeight="1">
      <c r="A144" s="4"/>
      <c r="B144" s="4"/>
      <c r="C144" s="4"/>
      <c r="D144" s="4"/>
      <c r="E144" s="4"/>
      <c r="F144" s="4"/>
      <c r="G144" s="4"/>
      <c r="H144" s="4"/>
      <c r="I144" s="4"/>
    </row>
    <row r="145" ht="18.75" customHeight="1">
      <c r="A145" s="4"/>
      <c r="B145" s="4"/>
      <c r="C145" s="4"/>
      <c r="D145" s="4"/>
      <c r="E145" s="4"/>
      <c r="F145" s="4"/>
      <c r="G145" s="4"/>
      <c r="H145" s="4"/>
      <c r="I145" s="4"/>
    </row>
    <row r="146" ht="18.75" customHeight="1">
      <c r="A146" s="4"/>
      <c r="B146" s="4"/>
      <c r="C146" s="4"/>
      <c r="D146" s="4"/>
      <c r="E146" s="4"/>
      <c r="F146" s="4"/>
      <c r="G146" s="4"/>
      <c r="H146" s="4"/>
      <c r="I146" s="4"/>
    </row>
    <row r="147" ht="18.75" customHeight="1">
      <c r="A147" s="4"/>
      <c r="B147" s="4"/>
      <c r="C147" s="4"/>
      <c r="D147" s="4"/>
      <c r="E147" s="4"/>
      <c r="F147" s="4"/>
      <c r="G147" s="4"/>
      <c r="H147" s="4"/>
      <c r="I147" s="4"/>
    </row>
    <row r="148" ht="18.75" customHeight="1">
      <c r="A148" s="4"/>
      <c r="B148" s="4"/>
      <c r="C148" s="4"/>
      <c r="D148" s="4"/>
      <c r="E148" s="4"/>
      <c r="F148" s="4"/>
      <c r="G148" s="4"/>
      <c r="H148" s="4"/>
      <c r="I148" s="4"/>
    </row>
    <row r="149" ht="18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ht="18.75" customHeight="1">
      <c r="A150" s="4"/>
      <c r="B150" s="4"/>
      <c r="C150" s="4"/>
      <c r="D150" s="4"/>
      <c r="E150" s="4"/>
      <c r="F150" s="4"/>
      <c r="G150" s="4"/>
      <c r="H150" s="4"/>
      <c r="I150" s="4"/>
    </row>
    <row r="151" ht="18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ht="18.75" customHeight="1">
      <c r="A152" s="4"/>
      <c r="B152" s="4"/>
      <c r="C152" s="4"/>
      <c r="D152" s="4"/>
      <c r="E152" s="4"/>
      <c r="F152" s="4"/>
      <c r="G152" s="4"/>
      <c r="H152" s="4"/>
      <c r="I152" s="4"/>
    </row>
    <row r="153" ht="18.75" customHeight="1">
      <c r="A153" s="4"/>
      <c r="B153" s="4"/>
      <c r="C153" s="4"/>
      <c r="D153" s="4"/>
      <c r="E153" s="4"/>
      <c r="F153" s="4"/>
      <c r="G153" s="4"/>
      <c r="H153" s="4"/>
      <c r="I153" s="4"/>
    </row>
    <row r="154" ht="18.75" customHeight="1">
      <c r="A154" s="4"/>
      <c r="B154" s="4"/>
      <c r="C154" s="4"/>
      <c r="D154" s="4"/>
      <c r="E154" s="4"/>
      <c r="F154" s="4"/>
      <c r="G154" s="4"/>
      <c r="H154" s="4"/>
      <c r="I154" s="4"/>
    </row>
    <row r="155" ht="18.75" customHeight="1">
      <c r="A155" s="4"/>
      <c r="B155" s="4"/>
      <c r="C155" s="4"/>
      <c r="D155" s="4"/>
      <c r="E155" s="4"/>
      <c r="F155" s="4"/>
      <c r="G155" s="4"/>
      <c r="H155" s="4"/>
      <c r="I155" s="4"/>
    </row>
    <row r="156" ht="18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ht="18.75" customHeight="1">
      <c r="A157" s="4"/>
      <c r="B157" s="4"/>
      <c r="C157" s="4"/>
      <c r="D157" s="4"/>
      <c r="E157" s="4"/>
      <c r="F157" s="4"/>
      <c r="G157" s="4"/>
      <c r="H157" s="4"/>
      <c r="I157" s="4"/>
    </row>
    <row r="158" ht="18.75" customHeight="1">
      <c r="A158" s="4"/>
      <c r="B158" s="4"/>
      <c r="C158" s="4"/>
      <c r="D158" s="4"/>
      <c r="E158" s="4"/>
      <c r="F158" s="4"/>
      <c r="G158" s="4"/>
      <c r="H158" s="4"/>
      <c r="I158" s="4"/>
    </row>
    <row r="159" ht="18.75" customHeight="1">
      <c r="A159" s="4"/>
      <c r="B159" s="4"/>
      <c r="C159" s="4"/>
      <c r="D159" s="4"/>
      <c r="E159" s="4"/>
      <c r="F159" s="4"/>
      <c r="G159" s="4"/>
      <c r="H159" s="4"/>
      <c r="I159" s="4"/>
    </row>
    <row r="160" ht="18.75" customHeight="1">
      <c r="A160" s="4"/>
      <c r="B160" s="4"/>
      <c r="C160" s="4"/>
      <c r="D160" s="4"/>
      <c r="E160" s="4"/>
      <c r="F160" s="4"/>
      <c r="G160" s="4"/>
      <c r="H160" s="4"/>
      <c r="I160" s="4"/>
    </row>
    <row r="161" ht="18.75" customHeight="1">
      <c r="A161" s="4"/>
      <c r="B161" s="4"/>
      <c r="C161" s="4"/>
      <c r="D161" s="4"/>
      <c r="E161" s="4"/>
      <c r="F161" s="4"/>
      <c r="G161" s="4"/>
      <c r="H161" s="4"/>
      <c r="I161" s="4"/>
    </row>
    <row r="162" ht="18.75" customHeight="1">
      <c r="A162" s="4"/>
      <c r="B162" s="4"/>
      <c r="C162" s="4"/>
      <c r="D162" s="4"/>
      <c r="E162" s="4"/>
      <c r="F162" s="4"/>
      <c r="G162" s="4"/>
      <c r="H162" s="4"/>
      <c r="I162" s="4"/>
    </row>
    <row r="163" ht="18.75" customHeight="1">
      <c r="A163" s="4"/>
      <c r="B163" s="4"/>
      <c r="C163" s="4"/>
      <c r="D163" s="4"/>
      <c r="E163" s="4"/>
      <c r="F163" s="4"/>
      <c r="G163" s="4"/>
      <c r="H163" s="4"/>
      <c r="I163" s="4"/>
    </row>
    <row r="164" ht="18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ht="18.75" customHeight="1">
      <c r="A165" s="4"/>
      <c r="B165" s="4"/>
      <c r="C165" s="4"/>
      <c r="D165" s="4"/>
      <c r="E165" s="4"/>
      <c r="F165" s="4"/>
      <c r="G165" s="4"/>
      <c r="H165" s="4"/>
      <c r="I165" s="4"/>
    </row>
    <row r="166" ht="18.75" customHeight="1">
      <c r="A166" s="4"/>
      <c r="B166" s="4"/>
      <c r="C166" s="4"/>
      <c r="D166" s="4"/>
      <c r="E166" s="4"/>
      <c r="F166" s="4"/>
      <c r="G166" s="4"/>
      <c r="H166" s="4"/>
      <c r="I166" s="4"/>
    </row>
    <row r="167" ht="18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ht="18.75" customHeight="1">
      <c r="A168" s="4"/>
      <c r="B168" s="4"/>
      <c r="C168" s="4"/>
      <c r="D168" s="4"/>
      <c r="E168" s="4"/>
      <c r="F168" s="4"/>
      <c r="G168" s="4"/>
      <c r="H168" s="4"/>
      <c r="I168" s="4"/>
    </row>
    <row r="169" ht="18.75" customHeight="1">
      <c r="A169" s="4"/>
      <c r="B169" s="4"/>
      <c r="C169" s="4"/>
      <c r="D169" s="4"/>
      <c r="E169" s="4"/>
      <c r="F169" s="4"/>
      <c r="G169" s="4"/>
      <c r="H169" s="4"/>
      <c r="I169" s="4"/>
    </row>
    <row r="170" ht="18.75" customHeight="1">
      <c r="A170" s="4"/>
      <c r="B170" s="4"/>
      <c r="C170" s="4"/>
      <c r="D170" s="4"/>
      <c r="E170" s="4"/>
      <c r="F170" s="4"/>
      <c r="G170" s="4"/>
      <c r="H170" s="4"/>
      <c r="I170" s="4"/>
    </row>
    <row r="171" ht="18.75" customHeight="1">
      <c r="A171" s="4"/>
      <c r="B171" s="4"/>
      <c r="C171" s="4"/>
      <c r="D171" s="4"/>
      <c r="E171" s="4"/>
      <c r="F171" s="4"/>
      <c r="G171" s="4"/>
      <c r="H171" s="4"/>
      <c r="I171" s="4"/>
    </row>
    <row r="172" ht="18.75" customHeight="1">
      <c r="A172" s="4"/>
      <c r="B172" s="4"/>
      <c r="C172" s="4"/>
      <c r="D172" s="4"/>
      <c r="E172" s="4"/>
      <c r="F172" s="4"/>
      <c r="G172" s="4"/>
      <c r="H172" s="4"/>
      <c r="I172" s="4"/>
    </row>
    <row r="173" ht="18.75" customHeight="1">
      <c r="A173" s="4"/>
      <c r="B173" s="4"/>
      <c r="C173" s="4"/>
      <c r="D173" s="4"/>
      <c r="E173" s="4"/>
      <c r="F173" s="4"/>
      <c r="G173" s="4"/>
      <c r="H173" s="4"/>
      <c r="I173" s="4"/>
    </row>
    <row r="174" ht="18.75" customHeight="1">
      <c r="A174" s="4"/>
      <c r="B174" s="4"/>
      <c r="C174" s="4"/>
      <c r="D174" s="4"/>
      <c r="E174" s="4"/>
      <c r="F174" s="4"/>
      <c r="G174" s="4"/>
      <c r="H174" s="4"/>
      <c r="I174" s="4"/>
    </row>
    <row r="175" ht="18.75" customHeight="1">
      <c r="A175" s="4"/>
      <c r="B175" s="4"/>
      <c r="C175" s="4"/>
      <c r="D175" s="4"/>
      <c r="E175" s="4"/>
      <c r="F175" s="4"/>
      <c r="G175" s="4"/>
      <c r="H175" s="4"/>
      <c r="I175" s="4"/>
    </row>
    <row r="176" ht="18.75" customHeight="1">
      <c r="A176" s="4"/>
      <c r="B176" s="4"/>
      <c r="C176" s="4"/>
      <c r="D176" s="4"/>
      <c r="E176" s="4"/>
      <c r="F176" s="4"/>
      <c r="G176" s="4"/>
      <c r="H176" s="4"/>
      <c r="I176" s="4"/>
    </row>
    <row r="177" ht="18.75" customHeight="1">
      <c r="A177" s="4"/>
      <c r="B177" s="4"/>
      <c r="C177" s="4"/>
      <c r="D177" s="4"/>
      <c r="E177" s="4"/>
      <c r="F177" s="4"/>
      <c r="G177" s="4"/>
      <c r="H177" s="4"/>
      <c r="I177" s="4"/>
    </row>
    <row r="178" ht="18.75" customHeight="1">
      <c r="A178" s="4"/>
      <c r="B178" s="4"/>
      <c r="C178" s="4"/>
      <c r="D178" s="4"/>
      <c r="E178" s="4"/>
      <c r="F178" s="4"/>
      <c r="G178" s="4"/>
      <c r="H178" s="4"/>
      <c r="I178" s="4"/>
    </row>
    <row r="179" ht="18.75" customHeight="1">
      <c r="A179" s="4"/>
      <c r="B179" s="4"/>
      <c r="C179" s="4"/>
      <c r="D179" s="4"/>
      <c r="E179" s="4"/>
      <c r="F179" s="4"/>
      <c r="G179" s="4"/>
      <c r="H179" s="4"/>
      <c r="I179" s="4"/>
    </row>
    <row r="180" ht="18.75" customHeight="1">
      <c r="A180" s="4"/>
      <c r="B180" s="4"/>
      <c r="C180" s="4"/>
      <c r="D180" s="4"/>
      <c r="E180" s="4"/>
      <c r="F180" s="4"/>
      <c r="G180" s="4"/>
      <c r="H180" s="4"/>
      <c r="I180" s="4"/>
    </row>
    <row r="181" ht="18.75" customHeight="1">
      <c r="A181" s="4"/>
      <c r="B181" s="4"/>
      <c r="C181" s="4"/>
      <c r="D181" s="4"/>
      <c r="E181" s="4"/>
      <c r="F181" s="4"/>
      <c r="G181" s="4"/>
      <c r="H181" s="4"/>
      <c r="I181" s="4"/>
    </row>
    <row r="182" ht="18.75" customHeight="1">
      <c r="A182" s="4"/>
      <c r="B182" s="4"/>
      <c r="C182" s="4"/>
      <c r="D182" s="4"/>
      <c r="E182" s="4"/>
      <c r="F182" s="4"/>
      <c r="G182" s="4"/>
      <c r="H182" s="4"/>
      <c r="I182" s="4"/>
    </row>
    <row r="183" ht="18.75" customHeight="1">
      <c r="A183" s="4"/>
      <c r="B183" s="4"/>
      <c r="C183" s="4"/>
      <c r="D183" s="4"/>
      <c r="E183" s="4"/>
      <c r="F183" s="4"/>
      <c r="G183" s="4"/>
      <c r="H183" s="4"/>
      <c r="I183" s="4"/>
    </row>
    <row r="184" ht="18.75" customHeight="1">
      <c r="A184" s="4"/>
      <c r="B184" s="4"/>
      <c r="C184" s="4"/>
      <c r="D184" s="4"/>
      <c r="E184" s="4"/>
      <c r="F184" s="4"/>
      <c r="G184" s="4"/>
      <c r="H184" s="4"/>
      <c r="I184" s="4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4"/>
    </row>
    <row r="186" ht="18.75" customHeight="1">
      <c r="A186" s="4"/>
      <c r="B186" s="4"/>
      <c r="C186" s="4"/>
      <c r="D186" s="4"/>
      <c r="E186" s="4"/>
      <c r="F186" s="4"/>
      <c r="G186" s="4"/>
      <c r="H186" s="4"/>
      <c r="I186" s="4"/>
    </row>
    <row r="187" ht="18.75" customHeight="1">
      <c r="A187" s="4"/>
      <c r="B187" s="4"/>
      <c r="C187" s="4"/>
      <c r="D187" s="4"/>
      <c r="E187" s="4"/>
      <c r="F187" s="4"/>
      <c r="G187" s="4"/>
      <c r="H187" s="4"/>
      <c r="I187" s="4"/>
    </row>
    <row r="188" ht="18.75" customHeight="1">
      <c r="A188" s="4"/>
      <c r="B188" s="4"/>
      <c r="C188" s="4"/>
      <c r="D188" s="4"/>
      <c r="E188" s="4"/>
      <c r="F188" s="4"/>
      <c r="G188" s="4"/>
      <c r="H188" s="4"/>
      <c r="I188" s="4"/>
    </row>
    <row r="189" ht="18.75" customHeight="1">
      <c r="A189" s="4"/>
      <c r="B189" s="4"/>
      <c r="C189" s="4"/>
      <c r="D189" s="4"/>
      <c r="E189" s="4"/>
      <c r="F189" s="4"/>
      <c r="G189" s="4"/>
      <c r="H189" s="4"/>
      <c r="I189" s="4"/>
    </row>
    <row r="190" ht="18.75" customHeight="1">
      <c r="A190" s="4"/>
      <c r="B190" s="4"/>
      <c r="C190" s="4"/>
      <c r="D190" s="4"/>
      <c r="E190" s="4"/>
      <c r="F190" s="4"/>
      <c r="G190" s="4"/>
      <c r="H190" s="4"/>
      <c r="I190" s="4"/>
    </row>
    <row r="191" ht="18.75" customHeight="1">
      <c r="A191" s="4"/>
      <c r="B191" s="4"/>
      <c r="C191" s="4"/>
      <c r="D191" s="4"/>
      <c r="E191" s="4"/>
      <c r="F191" s="4"/>
      <c r="G191" s="4"/>
      <c r="H191" s="4"/>
      <c r="I191" s="4"/>
    </row>
    <row r="192" ht="18.75" customHeight="1">
      <c r="A192" s="4"/>
      <c r="B192" s="4"/>
      <c r="C192" s="4"/>
      <c r="D192" s="4"/>
      <c r="E192" s="4"/>
      <c r="F192" s="4"/>
      <c r="G192" s="4"/>
      <c r="H192" s="4"/>
      <c r="I192" s="4"/>
    </row>
    <row r="193" ht="18.75" customHeight="1">
      <c r="A193" s="4"/>
      <c r="B193" s="4"/>
      <c r="C193" s="4"/>
      <c r="D193" s="4"/>
      <c r="E193" s="4"/>
      <c r="F193" s="4"/>
      <c r="G193" s="4"/>
      <c r="H193" s="4"/>
      <c r="I193" s="4"/>
    </row>
    <row r="194" ht="18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ht="18.75" customHeight="1">
      <c r="A195" s="4"/>
      <c r="B195" s="4"/>
      <c r="C195" s="4"/>
      <c r="D195" s="4"/>
      <c r="E195" s="4"/>
      <c r="F195" s="4"/>
      <c r="G195" s="4"/>
      <c r="H195" s="4"/>
      <c r="I195" s="4"/>
    </row>
    <row r="196" ht="18.75" customHeight="1">
      <c r="A196" s="4"/>
      <c r="B196" s="4"/>
      <c r="C196" s="4"/>
      <c r="D196" s="4"/>
      <c r="E196" s="4"/>
      <c r="F196" s="4"/>
      <c r="G196" s="4"/>
      <c r="H196" s="4"/>
      <c r="I196" s="4"/>
    </row>
    <row r="197" ht="18.75" customHeight="1">
      <c r="A197" s="4"/>
      <c r="B197" s="4"/>
      <c r="C197" s="4"/>
      <c r="D197" s="4"/>
      <c r="E197" s="4"/>
      <c r="F197" s="4"/>
      <c r="G197" s="4"/>
      <c r="H197" s="4"/>
      <c r="I197" s="4"/>
    </row>
    <row r="198" ht="18.75" customHeight="1">
      <c r="A198" s="4"/>
      <c r="B198" s="4"/>
      <c r="C198" s="4"/>
      <c r="D198" s="4"/>
      <c r="E198" s="4"/>
      <c r="F198" s="4"/>
      <c r="G198" s="4"/>
      <c r="H198" s="4"/>
      <c r="I198" s="4"/>
    </row>
    <row r="199" ht="18.75" customHeight="1">
      <c r="A199" s="4"/>
      <c r="B199" s="4"/>
      <c r="C199" s="4"/>
      <c r="D199" s="4"/>
      <c r="E199" s="4"/>
      <c r="F199" s="4"/>
      <c r="G199" s="4"/>
      <c r="H199" s="4"/>
      <c r="I199" s="4"/>
    </row>
    <row r="200" ht="18.75" customHeight="1">
      <c r="A200" s="4"/>
      <c r="B200" s="4"/>
      <c r="C200" s="4"/>
      <c r="D200" s="4"/>
      <c r="E200" s="4"/>
      <c r="F200" s="4"/>
      <c r="G200" s="4"/>
      <c r="H200" s="4"/>
      <c r="I200" s="4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4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4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4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4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4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4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4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4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4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4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4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4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4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4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4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4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4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4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I1"/>
    <mergeCell ref="A2:C2"/>
    <mergeCell ref="D2:I2"/>
    <mergeCell ref="A3:C3"/>
    <mergeCell ref="D3:I3"/>
    <mergeCell ref="D4:F4"/>
    <mergeCell ref="G4:H4"/>
    <mergeCell ref="A4:C4"/>
    <mergeCell ref="A5:C5"/>
    <mergeCell ref="D5:F5"/>
    <mergeCell ref="G5:H5"/>
    <mergeCell ref="A6:I6"/>
    <mergeCell ref="A7:C7"/>
    <mergeCell ref="D7:I7"/>
    <mergeCell ref="A8:C8"/>
    <mergeCell ref="D8:F8"/>
    <mergeCell ref="G8:I8"/>
    <mergeCell ref="A9:I9"/>
    <mergeCell ref="A11:C11"/>
    <mergeCell ref="D11:I11"/>
    <mergeCell ref="A12:I12"/>
    <mergeCell ref="A19:B19"/>
    <mergeCell ref="A20:C20"/>
    <mergeCell ref="A21:I21"/>
    <mergeCell ref="A22:C22"/>
    <mergeCell ref="A23:I23"/>
    <mergeCell ref="A13:C13"/>
    <mergeCell ref="D13:I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D2"/>
  </hyperlink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55.29"/>
    <col customWidth="1" min="3" max="3" width="46.86"/>
    <col customWidth="1" min="4" max="4" width="40.71"/>
    <col customWidth="1" min="5" max="5" width="40.0"/>
    <col customWidth="1" min="6" max="6" width="22.14"/>
    <col customWidth="1" min="7" max="7" width="38.29"/>
    <col customWidth="1" min="8" max="8" width="27.43"/>
    <col customWidth="1" min="9" max="9" width="32.86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117" t="s">
        <v>62</v>
      </c>
      <c r="B2" s="118"/>
      <c r="C2" s="119"/>
      <c r="D2" s="121" t="s">
        <v>102</v>
      </c>
      <c r="E2" s="118"/>
      <c r="F2" s="118"/>
      <c r="G2" s="118"/>
      <c r="H2" s="118"/>
      <c r="I2" s="119"/>
    </row>
    <row r="3" ht="19.5" customHeight="1">
      <c r="A3" s="122" t="s">
        <v>103</v>
      </c>
      <c r="B3" s="118"/>
      <c r="C3" s="119"/>
      <c r="D3" s="124" t="s">
        <v>98</v>
      </c>
      <c r="E3" s="118"/>
      <c r="F3" s="118"/>
      <c r="G3" s="118"/>
      <c r="H3" s="118"/>
      <c r="I3" s="119"/>
    </row>
    <row r="4" ht="19.5" customHeight="1">
      <c r="A4" s="122" t="s">
        <v>8</v>
      </c>
      <c r="B4" s="118"/>
      <c r="C4" s="119"/>
      <c r="D4" s="124" t="s">
        <v>41</v>
      </c>
      <c r="E4" s="118"/>
      <c r="F4" s="119"/>
      <c r="G4" s="4"/>
      <c r="I4" s="4"/>
    </row>
    <row r="5" ht="19.5" customHeight="1">
      <c r="A5" s="122" t="s">
        <v>104</v>
      </c>
      <c r="B5" s="118"/>
      <c r="C5" s="119"/>
      <c r="D5" s="124" t="s">
        <v>42</v>
      </c>
      <c r="E5" s="118"/>
      <c r="F5" s="119"/>
      <c r="G5" s="126" t="s">
        <v>10</v>
      </c>
      <c r="H5" s="119"/>
      <c r="I5" s="204" t="s">
        <v>21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9"/>
    </row>
    <row r="7" ht="19.5" customHeight="1">
      <c r="A7" s="122" t="s">
        <v>106</v>
      </c>
      <c r="B7" s="118"/>
      <c r="C7" s="119"/>
      <c r="D7" s="126" t="s">
        <v>107</v>
      </c>
      <c r="E7" s="118"/>
      <c r="F7" s="118"/>
      <c r="G7" s="118"/>
      <c r="H7" s="118"/>
      <c r="I7" s="119"/>
    </row>
    <row r="8" ht="6.0" customHeight="1">
      <c r="A8" s="4"/>
      <c r="D8" s="4"/>
      <c r="G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</row>
    <row r="10" ht="19.5" customHeight="1">
      <c r="A10" s="122" t="s">
        <v>109</v>
      </c>
      <c r="B10" s="131"/>
      <c r="C10" s="131"/>
      <c r="D10" s="131">
        <v>4.13E-4</v>
      </c>
      <c r="E10" s="131"/>
      <c r="F10" s="131"/>
      <c r="G10" s="131"/>
      <c r="H10" s="131"/>
      <c r="I10" s="132"/>
    </row>
    <row r="11" ht="6.0" customHeight="1">
      <c r="A11" s="4"/>
      <c r="D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</row>
    <row r="13" ht="18.0" customHeight="1">
      <c r="A13" s="134" t="s">
        <v>111</v>
      </c>
      <c r="B13" s="118"/>
      <c r="C13" s="119"/>
      <c r="D13" s="136" t="s">
        <v>112</v>
      </c>
      <c r="E13" s="118"/>
      <c r="F13" s="118"/>
      <c r="G13" s="118"/>
      <c r="H13" s="118"/>
      <c r="I13" s="119"/>
    </row>
    <row r="14" ht="30.0" customHeight="1">
      <c r="A14" s="137" t="s">
        <v>113</v>
      </c>
      <c r="B14" s="119"/>
      <c r="C14" s="22" t="s">
        <v>114</v>
      </c>
      <c r="D14" s="22" t="s">
        <v>116</v>
      </c>
      <c r="E14" s="22" t="s">
        <v>117</v>
      </c>
      <c r="F14" s="22" t="s">
        <v>118</v>
      </c>
      <c r="G14" s="22" t="s">
        <v>120</v>
      </c>
      <c r="H14" s="22" t="s">
        <v>121</v>
      </c>
      <c r="I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0.0</v>
      </c>
      <c r="E15" s="140" t="s">
        <v>105</v>
      </c>
      <c r="F15" s="141"/>
      <c r="G15" s="142" t="s">
        <v>125</v>
      </c>
      <c r="H15" s="143">
        <f>$D10</f>
        <v>0.000413</v>
      </c>
      <c r="I15" s="144">
        <f>IF(D15="",0,D15*$D10)</f>
        <v>0</v>
      </c>
    </row>
    <row r="16" ht="21.75" customHeight="1">
      <c r="A16" s="145" t="s">
        <v>126</v>
      </c>
      <c r="B16" s="119"/>
      <c r="C16" s="123" t="s">
        <v>127</v>
      </c>
      <c r="D16" s="139">
        <v>0.0</v>
      </c>
      <c r="E16" s="146" t="s">
        <v>126</v>
      </c>
      <c r="F16" s="147"/>
      <c r="G16" s="148" t="s">
        <v>125</v>
      </c>
      <c r="H16" s="149">
        <f>$D10</f>
        <v>0.000413</v>
      </c>
      <c r="I16" s="150">
        <f>IF(D16="",0,D16*$D10)</f>
        <v>0</v>
      </c>
    </row>
    <row r="17" ht="21.75" customHeight="1">
      <c r="A17" s="138" t="s">
        <v>128</v>
      </c>
      <c r="B17" s="119"/>
      <c r="C17" s="123" t="s">
        <v>129</v>
      </c>
      <c r="D17" s="139">
        <v>0.0</v>
      </c>
      <c r="E17" s="140" t="s">
        <v>130</v>
      </c>
      <c r="F17" s="141"/>
      <c r="G17" s="142" t="s">
        <v>125</v>
      </c>
      <c r="H17" s="143">
        <f>$D10</f>
        <v>0.000413</v>
      </c>
      <c r="I17" s="144">
        <f>IF(D17="",0,D17*$D10)</f>
        <v>0</v>
      </c>
    </row>
    <row r="18" ht="21.75" customHeight="1">
      <c r="A18" s="145" t="s">
        <v>131</v>
      </c>
      <c r="B18" s="119"/>
      <c r="C18" s="123" t="s">
        <v>132</v>
      </c>
      <c r="D18" s="139">
        <v>0.0</v>
      </c>
      <c r="E18" s="146" t="s">
        <v>149</v>
      </c>
      <c r="F18" s="147"/>
      <c r="G18" s="148" t="s">
        <v>125</v>
      </c>
      <c r="H18" s="149">
        <f>$D10</f>
        <v>0.000413</v>
      </c>
      <c r="I18" s="150">
        <f>IF(D18="",0,D18*$D10)</f>
        <v>0</v>
      </c>
    </row>
    <row r="19" ht="21.75" customHeight="1">
      <c r="A19" s="138" t="s">
        <v>150</v>
      </c>
      <c r="B19" s="119"/>
      <c r="C19" s="123" t="s">
        <v>138</v>
      </c>
      <c r="D19" s="139">
        <v>0.0</v>
      </c>
      <c r="E19" s="140" t="s">
        <v>139</v>
      </c>
      <c r="F19" s="141"/>
      <c r="G19" s="142" t="s">
        <v>125</v>
      </c>
      <c r="H19" s="143">
        <f>$D10</f>
        <v>0.000413</v>
      </c>
      <c r="I19" s="144">
        <f>IF(D19="",0,D19*$D10)</f>
        <v>0</v>
      </c>
    </row>
    <row r="20" ht="21.75" customHeight="1">
      <c r="A20" s="145" t="s">
        <v>140</v>
      </c>
      <c r="B20" s="118"/>
      <c r="C20" s="119"/>
      <c r="D20" s="139">
        <v>0.0</v>
      </c>
      <c r="E20" s="146" t="s">
        <v>141</v>
      </c>
      <c r="F20" s="147"/>
      <c r="G20" s="148" t="s">
        <v>125</v>
      </c>
      <c r="H20" s="149">
        <f>$D10</f>
        <v>0.000413</v>
      </c>
      <c r="I20" s="150">
        <f>IF(D20="",0,D20*$D10)</f>
        <v>0</v>
      </c>
    </row>
    <row r="21" ht="21.75" customHeight="1">
      <c r="A21" s="138" t="s">
        <v>142</v>
      </c>
      <c r="B21" s="118"/>
      <c r="C21" s="118"/>
      <c r="D21" s="118"/>
      <c r="E21" s="118"/>
      <c r="F21" s="118"/>
      <c r="G21" s="118"/>
      <c r="H21" s="118"/>
      <c r="I21" s="119"/>
    </row>
    <row r="22" ht="25.5" customHeight="1">
      <c r="A22" s="157" t="s">
        <v>143</v>
      </c>
      <c r="B22" s="118"/>
      <c r="C22" s="119"/>
      <c r="D22" s="158">
        <f>SUM(D15:D21)</f>
        <v>0</v>
      </c>
      <c r="E22" s="159" t="s">
        <v>144</v>
      </c>
      <c r="F22" s="160"/>
      <c r="G22" s="160"/>
      <c r="H22" s="160"/>
      <c r="I22" s="158">
        <f>SUM(I15:I21)</f>
        <v>0</v>
      </c>
    </row>
    <row r="23" ht="15.75" customHeight="1">
      <c r="A23" s="107" t="s">
        <v>145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I1"/>
    <mergeCell ref="A2:C2"/>
    <mergeCell ref="D2:I2"/>
    <mergeCell ref="A3:C3"/>
    <mergeCell ref="D3:I3"/>
    <mergeCell ref="D4:F4"/>
    <mergeCell ref="G4:H4"/>
    <mergeCell ref="A4:C4"/>
    <mergeCell ref="A5:C5"/>
    <mergeCell ref="D5:F5"/>
    <mergeCell ref="G5:H5"/>
    <mergeCell ref="A6:I6"/>
    <mergeCell ref="A7:C7"/>
    <mergeCell ref="D7:I7"/>
    <mergeCell ref="A8:C8"/>
    <mergeCell ref="D8:F8"/>
    <mergeCell ref="G8:I8"/>
    <mergeCell ref="A9:I9"/>
    <mergeCell ref="A11:C11"/>
    <mergeCell ref="D11:I11"/>
    <mergeCell ref="A12:I12"/>
    <mergeCell ref="A19:B19"/>
    <mergeCell ref="A20:C20"/>
    <mergeCell ref="A21:I21"/>
    <mergeCell ref="A22:C22"/>
    <mergeCell ref="A23:I23"/>
    <mergeCell ref="A13:C13"/>
    <mergeCell ref="D13:I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D2"/>
  </hyperlink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4.0" topLeftCell="A15" activePane="bottomLeft" state="frozen"/>
      <selection activeCell="B16" sqref="B16" pane="bottomLeft"/>
    </sheetView>
  </sheetViews>
  <sheetFormatPr customHeight="1" defaultColWidth="14.43" defaultRowHeight="15.0"/>
  <cols>
    <col customWidth="1" min="1" max="1" width="18.0"/>
    <col customWidth="1" min="2" max="2" width="50.86"/>
    <col customWidth="1" min="3" max="3" width="55.71"/>
    <col customWidth="1" min="4" max="4" width="30.14"/>
    <col customWidth="1" min="5" max="5" width="31.14"/>
    <col customWidth="1" min="6" max="6" width="19.29"/>
    <col customWidth="1" min="7" max="7" width="36.71"/>
    <col customWidth="1" min="8" max="8" width="27.71"/>
    <col customWidth="1" min="9" max="9" width="25.14"/>
  </cols>
  <sheetData>
    <row r="1" ht="30.0" customHeight="1">
      <c r="A1" s="167" t="s">
        <v>147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117" t="s">
        <v>62</v>
      </c>
      <c r="B2" s="118"/>
      <c r="C2" s="119"/>
      <c r="D2" s="121" t="s">
        <v>102</v>
      </c>
      <c r="E2" s="118"/>
      <c r="F2" s="118"/>
      <c r="G2" s="118"/>
      <c r="H2" s="118"/>
      <c r="I2" s="119"/>
    </row>
    <row r="3" ht="19.5" customHeight="1">
      <c r="A3" s="122" t="s">
        <v>103</v>
      </c>
      <c r="B3" s="118"/>
      <c r="C3" s="119"/>
      <c r="D3" s="124" t="s">
        <v>89</v>
      </c>
      <c r="E3" s="118"/>
      <c r="F3" s="118"/>
      <c r="G3" s="118"/>
      <c r="H3" s="118"/>
      <c r="I3" s="119"/>
    </row>
    <row r="4" ht="19.5" customHeight="1">
      <c r="A4" s="122" t="s">
        <v>8</v>
      </c>
      <c r="B4" s="118"/>
      <c r="C4" s="119"/>
      <c r="D4" s="124" t="s">
        <v>51</v>
      </c>
      <c r="E4" s="118"/>
      <c r="F4" s="119"/>
      <c r="G4" s="4"/>
      <c r="I4" s="4"/>
    </row>
    <row r="5" ht="19.5" customHeight="1">
      <c r="A5" s="122" t="s">
        <v>104</v>
      </c>
      <c r="B5" s="118"/>
      <c r="C5" s="119"/>
      <c r="D5" s="124" t="s">
        <v>52</v>
      </c>
      <c r="E5" s="118"/>
      <c r="F5" s="119"/>
      <c r="G5" s="126" t="s">
        <v>10</v>
      </c>
      <c r="H5" s="119"/>
      <c r="I5" s="204" t="s">
        <v>21</v>
      </c>
    </row>
    <row r="6" ht="19.5" customHeight="1">
      <c r="A6" s="122" t="s">
        <v>105</v>
      </c>
      <c r="B6" s="118"/>
      <c r="C6" s="118"/>
      <c r="D6" s="118"/>
      <c r="E6" s="118"/>
      <c r="F6" s="118"/>
      <c r="G6" s="118"/>
      <c r="H6" s="118"/>
      <c r="I6" s="119"/>
    </row>
    <row r="7" ht="19.5" customHeight="1">
      <c r="A7" s="122" t="s">
        <v>106</v>
      </c>
      <c r="B7" s="118"/>
      <c r="C7" s="119"/>
      <c r="D7" s="126" t="s">
        <v>107</v>
      </c>
      <c r="E7" s="118"/>
      <c r="F7" s="118"/>
      <c r="G7" s="118"/>
      <c r="H7" s="118"/>
      <c r="I7" s="119"/>
    </row>
    <row r="8" ht="6.0" customHeight="1">
      <c r="A8" s="4"/>
      <c r="D8" s="4"/>
      <c r="G8" s="4"/>
    </row>
    <row r="9" ht="21.75" customHeight="1">
      <c r="A9" s="129" t="s">
        <v>108</v>
      </c>
      <c r="B9" s="130"/>
      <c r="C9" s="130"/>
      <c r="D9" s="130"/>
      <c r="E9" s="130"/>
      <c r="F9" s="130"/>
      <c r="G9" s="130"/>
      <c r="H9" s="130"/>
      <c r="I9" s="130"/>
    </row>
    <row r="10" ht="19.5" customHeight="1">
      <c r="A10" s="122" t="s">
        <v>109</v>
      </c>
      <c r="B10" s="131"/>
      <c r="C10" s="131"/>
      <c r="D10" s="131">
        <v>4.13E-4</v>
      </c>
      <c r="E10" s="131"/>
      <c r="F10" s="131"/>
      <c r="G10" s="131"/>
      <c r="H10" s="131"/>
      <c r="I10" s="132"/>
    </row>
    <row r="11" ht="6.0" customHeight="1">
      <c r="A11" s="4"/>
      <c r="D11" s="4"/>
    </row>
    <row r="12" ht="21.75" customHeight="1">
      <c r="A12" s="133" t="s">
        <v>110</v>
      </c>
      <c r="B12" s="2"/>
      <c r="C12" s="2"/>
      <c r="D12" s="2"/>
      <c r="E12" s="2"/>
      <c r="F12" s="2"/>
      <c r="G12" s="2"/>
      <c r="H12" s="2"/>
      <c r="I12" s="2"/>
    </row>
    <row r="13" ht="18.0" customHeight="1">
      <c r="A13" s="134" t="s">
        <v>111</v>
      </c>
      <c r="B13" s="118"/>
      <c r="C13" s="119"/>
      <c r="D13" s="136" t="s">
        <v>112</v>
      </c>
      <c r="E13" s="118"/>
      <c r="F13" s="118"/>
      <c r="G13" s="118"/>
      <c r="H13" s="118"/>
      <c r="I13" s="119"/>
    </row>
    <row r="14" ht="30.0" customHeight="1">
      <c r="A14" s="137" t="s">
        <v>113</v>
      </c>
      <c r="B14" s="119"/>
      <c r="C14" s="22" t="s">
        <v>114</v>
      </c>
      <c r="D14" s="22" t="s">
        <v>116</v>
      </c>
      <c r="E14" s="22" t="s">
        <v>117</v>
      </c>
      <c r="F14" s="22" t="s">
        <v>118</v>
      </c>
      <c r="G14" s="22" t="s">
        <v>120</v>
      </c>
      <c r="H14" s="22" t="s">
        <v>121</v>
      </c>
      <c r="I14" s="22" t="s">
        <v>122</v>
      </c>
    </row>
    <row r="15" ht="21.75" customHeight="1">
      <c r="A15" s="138" t="s">
        <v>123</v>
      </c>
      <c r="B15" s="119"/>
      <c r="C15" s="123" t="s">
        <v>124</v>
      </c>
      <c r="D15" s="139">
        <v>0.0</v>
      </c>
      <c r="E15" s="140" t="s">
        <v>105</v>
      </c>
      <c r="F15" s="141"/>
      <c r="G15" s="142" t="s">
        <v>125</v>
      </c>
      <c r="H15" s="143">
        <f>$D10</f>
        <v>0.000413</v>
      </c>
      <c r="I15" s="144">
        <f>IF(D15="",0,D15*$D10)</f>
        <v>0</v>
      </c>
    </row>
    <row r="16" ht="21.75" customHeight="1">
      <c r="A16" s="145" t="s">
        <v>126</v>
      </c>
      <c r="B16" s="119"/>
      <c r="C16" s="123" t="s">
        <v>127</v>
      </c>
      <c r="D16" s="139">
        <v>0.0</v>
      </c>
      <c r="E16" s="146" t="s">
        <v>126</v>
      </c>
      <c r="F16" s="147"/>
      <c r="G16" s="148" t="s">
        <v>125</v>
      </c>
      <c r="H16" s="149">
        <f>$D10</f>
        <v>0.000413</v>
      </c>
      <c r="I16" s="150">
        <f>IF(D16="",0,D16*$D10)</f>
        <v>0</v>
      </c>
    </row>
    <row r="17" ht="21.75" customHeight="1">
      <c r="A17" s="138" t="s">
        <v>128</v>
      </c>
      <c r="B17" s="119"/>
      <c r="C17" s="123" t="s">
        <v>129</v>
      </c>
      <c r="D17" s="139">
        <v>0.0</v>
      </c>
      <c r="E17" s="140" t="s">
        <v>130</v>
      </c>
      <c r="F17" s="141"/>
      <c r="G17" s="142" t="s">
        <v>125</v>
      </c>
      <c r="H17" s="143">
        <f>$D10</f>
        <v>0.000413</v>
      </c>
      <c r="I17" s="144">
        <f>IF(D17="",0,D17*$D10)</f>
        <v>0</v>
      </c>
    </row>
    <row r="18" ht="21.75" customHeight="1">
      <c r="A18" s="145" t="s">
        <v>131</v>
      </c>
      <c r="B18" s="119"/>
      <c r="C18" s="123" t="s">
        <v>132</v>
      </c>
      <c r="D18" s="139">
        <v>0.0</v>
      </c>
      <c r="E18" s="146" t="s">
        <v>149</v>
      </c>
      <c r="F18" s="147"/>
      <c r="G18" s="148" t="s">
        <v>125</v>
      </c>
      <c r="H18" s="149">
        <f>$D10</f>
        <v>0.000413</v>
      </c>
      <c r="I18" s="150">
        <f>IF(D18="",0,D18*$D10)</f>
        <v>0</v>
      </c>
    </row>
    <row r="19" ht="21.75" customHeight="1">
      <c r="A19" s="138" t="s">
        <v>150</v>
      </c>
      <c r="B19" s="119"/>
      <c r="C19" s="123" t="s">
        <v>138</v>
      </c>
      <c r="D19" s="139">
        <v>0.0</v>
      </c>
      <c r="E19" s="140" t="s">
        <v>139</v>
      </c>
      <c r="F19" s="141"/>
      <c r="G19" s="142" t="s">
        <v>125</v>
      </c>
      <c r="H19" s="143">
        <f>$D10</f>
        <v>0.000413</v>
      </c>
      <c r="I19" s="144">
        <f>IF(D19="",0,D19*$D10)</f>
        <v>0</v>
      </c>
    </row>
    <row r="20" ht="21.75" customHeight="1">
      <c r="A20" s="145" t="s">
        <v>140</v>
      </c>
      <c r="B20" s="118"/>
      <c r="C20" s="119"/>
      <c r="D20" s="139">
        <v>0.0</v>
      </c>
      <c r="E20" s="146" t="s">
        <v>141</v>
      </c>
      <c r="F20" s="147"/>
      <c r="G20" s="148" t="s">
        <v>125</v>
      </c>
      <c r="H20" s="149">
        <f>$D10</f>
        <v>0.000413</v>
      </c>
      <c r="I20" s="150">
        <f>IF(D20="",0,D20*$D10)</f>
        <v>0</v>
      </c>
    </row>
    <row r="21" ht="21.75" customHeight="1">
      <c r="A21" s="138" t="s">
        <v>142</v>
      </c>
      <c r="B21" s="118"/>
      <c r="C21" s="118"/>
      <c r="D21" s="118"/>
      <c r="E21" s="118"/>
      <c r="F21" s="118"/>
      <c r="G21" s="118"/>
      <c r="H21" s="118"/>
      <c r="I21" s="119"/>
    </row>
    <row r="22" ht="25.5" customHeight="1">
      <c r="A22" s="157" t="s">
        <v>143</v>
      </c>
      <c r="B22" s="118"/>
      <c r="C22" s="119"/>
      <c r="D22" s="158">
        <f>SUM(D15:D21)</f>
        <v>0</v>
      </c>
      <c r="E22" s="159" t="s">
        <v>144</v>
      </c>
      <c r="F22" s="160"/>
      <c r="G22" s="160"/>
      <c r="H22" s="160"/>
      <c r="I22" s="158">
        <f>SUM(I15:I21)</f>
        <v>0</v>
      </c>
    </row>
    <row r="23" ht="15.75" customHeight="1">
      <c r="A23" s="107" t="s">
        <v>145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I1"/>
    <mergeCell ref="A2:C2"/>
    <mergeCell ref="D2:I2"/>
    <mergeCell ref="A3:C3"/>
    <mergeCell ref="D3:I3"/>
    <mergeCell ref="D4:F4"/>
    <mergeCell ref="G4:H4"/>
    <mergeCell ref="A4:C4"/>
    <mergeCell ref="A5:C5"/>
    <mergeCell ref="D5:F5"/>
    <mergeCell ref="G5:H5"/>
    <mergeCell ref="A6:I6"/>
    <mergeCell ref="A7:C7"/>
    <mergeCell ref="D7:I7"/>
    <mergeCell ref="A8:C8"/>
    <mergeCell ref="D8:F8"/>
    <mergeCell ref="G8:I8"/>
    <mergeCell ref="A9:I9"/>
    <mergeCell ref="A11:C11"/>
    <mergeCell ref="D11:I11"/>
    <mergeCell ref="A12:I12"/>
    <mergeCell ref="A19:B19"/>
    <mergeCell ref="A20:C20"/>
    <mergeCell ref="A21:I21"/>
    <mergeCell ref="A22:C22"/>
    <mergeCell ref="A23:I23"/>
    <mergeCell ref="A13:C13"/>
    <mergeCell ref="D13:I13"/>
    <mergeCell ref="A14:B14"/>
    <mergeCell ref="A15:B15"/>
    <mergeCell ref="A16:B16"/>
    <mergeCell ref="A17:B17"/>
    <mergeCell ref="A18:B18"/>
  </mergeCells>
  <hyperlinks>
    <hyperlink display="◀  BACK TO DASHBOARD" location="'🏠 Dashboard'!A1" ref="A2"/>
    <hyperlink display="◀  BACK TO INDEX" location="'📋 Activity Index'!A1" ref="D2"/>
  </hyperlink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5.14"/>
    <col customWidth="1" min="2" max="2" width="44.43"/>
    <col customWidth="1" min="3" max="3" width="28.86"/>
    <col customWidth="1" min="4" max="4" width="24.86"/>
    <col customWidth="1" min="5" max="5" width="20.14"/>
    <col customWidth="1" min="6" max="6" width="18.71"/>
    <col customWidth="1" min="7" max="7" width="14.71"/>
    <col customWidth="1" min="8" max="8" width="19.71"/>
    <col customWidth="1" min="9" max="9" width="14.71"/>
    <col customWidth="1" min="10" max="10" width="18.0"/>
    <col customWidth="1" min="11" max="11" width="15.71"/>
    <col customWidth="1" min="12" max="15" width="9.0"/>
    <col customWidth="1" min="16" max="16" width="20.43"/>
    <col customWidth="1" min="17" max="17" width="27.71"/>
    <col customWidth="1" min="18" max="18" width="19.43"/>
  </cols>
  <sheetData>
    <row r="1" ht="31.5" customHeight="1">
      <c r="A1" s="206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8.0" customHeight="1">
      <c r="A2" s="207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9.5" customHeight="1">
      <c r="A3" s="208" t="s">
        <v>62</v>
      </c>
      <c r="B3" s="2"/>
      <c r="C3" s="2"/>
      <c r="D3" s="2"/>
      <c r="E3" s="2"/>
      <c r="F3" s="2"/>
      <c r="G3" s="2"/>
      <c r="H3" s="2"/>
      <c r="I3" s="4"/>
      <c r="J3" s="4"/>
      <c r="K3" s="4"/>
      <c r="L3" s="4"/>
      <c r="M3" s="4"/>
      <c r="N3" s="4"/>
      <c r="O3" s="4"/>
      <c r="P3" s="4"/>
      <c r="Q3" s="4"/>
      <c r="R3" s="4"/>
    </row>
    <row r="4" ht="6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27.75" customHeight="1">
      <c r="A5" s="122" t="s">
        <v>109</v>
      </c>
      <c r="B5" s="119"/>
      <c r="C5" s="209">
        <v>4.138E-4</v>
      </c>
      <c r="D5" s="134" t="s">
        <v>160</v>
      </c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9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9.5" customHeight="1">
      <c r="A7" s="210" t="s">
        <v>161</v>
      </c>
      <c r="B7" s="210" t="s">
        <v>162</v>
      </c>
      <c r="C7" s="210" t="s">
        <v>163</v>
      </c>
      <c r="D7" s="210" t="s">
        <v>164</v>
      </c>
      <c r="E7" s="210" t="s">
        <v>165</v>
      </c>
      <c r="F7" s="210" t="s">
        <v>166</v>
      </c>
      <c r="G7" s="210" t="s">
        <v>167</v>
      </c>
      <c r="H7" s="210" t="s">
        <v>168</v>
      </c>
      <c r="I7" s="210" t="s">
        <v>169</v>
      </c>
      <c r="J7" s="210" t="s">
        <v>170</v>
      </c>
      <c r="K7" s="210" t="s">
        <v>171</v>
      </c>
      <c r="L7" s="210" t="s">
        <v>172</v>
      </c>
      <c r="M7" s="210" t="s">
        <v>52</v>
      </c>
      <c r="N7" s="210" t="s">
        <v>173</v>
      </c>
      <c r="O7" s="210" t="s">
        <v>174</v>
      </c>
      <c r="P7" s="210" t="s">
        <v>11</v>
      </c>
      <c r="Q7" s="210" t="s">
        <v>175</v>
      </c>
      <c r="R7" s="210" t="s">
        <v>12</v>
      </c>
    </row>
    <row r="8" ht="19.5" customHeight="1">
      <c r="A8" s="211" t="s">
        <v>176</v>
      </c>
      <c r="B8" s="212" t="s">
        <v>177</v>
      </c>
      <c r="C8" s="213">
        <v>1933300.0</v>
      </c>
      <c r="D8" s="213">
        <v>1933300.0</v>
      </c>
      <c r="E8" s="213">
        <v>1933300.0</v>
      </c>
      <c r="F8" s="213">
        <v>1933300.0</v>
      </c>
      <c r="G8" s="213">
        <v>1933300.0</v>
      </c>
      <c r="H8" s="213">
        <v>1933300.0</v>
      </c>
      <c r="I8" s="213">
        <v>1933300.0</v>
      </c>
      <c r="J8" s="213"/>
      <c r="K8" s="213"/>
      <c r="L8" s="213">
        <v>0.0</v>
      </c>
      <c r="M8" s="213">
        <v>0.0</v>
      </c>
      <c r="N8" s="213">
        <v>0.0</v>
      </c>
      <c r="O8" s="213">
        <v>0.0</v>
      </c>
      <c r="P8" s="214">
        <f t="shared" ref="P8:P11" si="1">SUM(C8:O8)</f>
        <v>13533100</v>
      </c>
      <c r="Q8" s="143">
        <f>$C5</f>
        <v>0.0004138</v>
      </c>
      <c r="R8" s="215">
        <f>P8*$C5</f>
        <v>5599.99678</v>
      </c>
    </row>
    <row r="9" ht="19.5" customHeight="1">
      <c r="A9" s="211" t="s">
        <v>178</v>
      </c>
      <c r="B9" s="216" t="s">
        <v>177</v>
      </c>
      <c r="C9" s="213">
        <v>0.0</v>
      </c>
      <c r="D9" s="213">
        <v>0.0</v>
      </c>
      <c r="E9" s="213">
        <v>0.0</v>
      </c>
      <c r="F9" s="213">
        <v>0.0</v>
      </c>
      <c r="G9" s="213">
        <v>0.0</v>
      </c>
      <c r="H9" s="213">
        <v>0.0</v>
      </c>
      <c r="I9" s="213">
        <v>0.0</v>
      </c>
      <c r="J9" s="213">
        <v>0.0</v>
      </c>
      <c r="K9" s="213">
        <v>0.0</v>
      </c>
      <c r="L9" s="213">
        <v>0.0</v>
      </c>
      <c r="M9" s="213">
        <v>0.0</v>
      </c>
      <c r="N9" s="213">
        <v>0.0</v>
      </c>
      <c r="O9" s="213">
        <v>0.0</v>
      </c>
      <c r="P9" s="214">
        <f t="shared" si="1"/>
        <v>0</v>
      </c>
      <c r="Q9" s="149">
        <f>$C5</f>
        <v>0.0004138</v>
      </c>
      <c r="R9" s="215">
        <f>P9*$C5</f>
        <v>0</v>
      </c>
    </row>
    <row r="10" ht="19.5" customHeight="1">
      <c r="A10" s="211" t="s">
        <v>179</v>
      </c>
      <c r="B10" s="212" t="s">
        <v>177</v>
      </c>
      <c r="C10" s="213">
        <v>0.0</v>
      </c>
      <c r="D10" s="213">
        <v>0.0</v>
      </c>
      <c r="E10" s="213">
        <v>0.0</v>
      </c>
      <c r="F10" s="213">
        <v>0.0</v>
      </c>
      <c r="G10" s="213">
        <v>0.0</v>
      </c>
      <c r="H10" s="213">
        <v>0.0</v>
      </c>
      <c r="I10" s="213">
        <v>0.0</v>
      </c>
      <c r="J10" s="213"/>
      <c r="K10" s="213"/>
      <c r="L10" s="213">
        <v>0.0</v>
      </c>
      <c r="M10" s="213">
        <v>0.0</v>
      </c>
      <c r="N10" s="213">
        <v>0.0</v>
      </c>
      <c r="O10" s="213">
        <v>0.0</v>
      </c>
      <c r="P10" s="214">
        <f t="shared" si="1"/>
        <v>0</v>
      </c>
      <c r="Q10" s="143">
        <f>$C5</f>
        <v>0.0004138</v>
      </c>
      <c r="R10" s="215">
        <f>P10*$C5</f>
        <v>0</v>
      </c>
    </row>
    <row r="11" ht="19.5" customHeight="1">
      <c r="A11" s="211" t="s">
        <v>180</v>
      </c>
      <c r="B11" s="212" t="s">
        <v>177</v>
      </c>
      <c r="C11" s="213">
        <v>0.0</v>
      </c>
      <c r="D11" s="213">
        <v>0.0</v>
      </c>
      <c r="E11" s="213">
        <v>0.0</v>
      </c>
      <c r="F11" s="213">
        <v>0.0</v>
      </c>
      <c r="G11" s="213">
        <v>0.0</v>
      </c>
      <c r="H11" s="213">
        <v>0.0</v>
      </c>
      <c r="I11" s="213">
        <v>0.0</v>
      </c>
      <c r="J11" s="213"/>
      <c r="K11" s="213"/>
      <c r="L11" s="213">
        <v>0.0</v>
      </c>
      <c r="M11" s="213">
        <v>0.0</v>
      </c>
      <c r="N11" s="213">
        <v>0.0</v>
      </c>
      <c r="O11" s="213">
        <v>0.0</v>
      </c>
      <c r="P11" s="214">
        <f t="shared" si="1"/>
        <v>0</v>
      </c>
      <c r="Q11" s="143">
        <f>$C5</f>
        <v>0.0004138</v>
      </c>
      <c r="R11" s="215">
        <f>P11*$C5</f>
        <v>0</v>
      </c>
    </row>
    <row r="12" ht="48.0" customHeight="1">
      <c r="A12" s="217" t="s">
        <v>181</v>
      </c>
      <c r="B12" s="218"/>
      <c r="C12" s="219">
        <f>SUM(C8:C11)</f>
        <v>1933300</v>
      </c>
      <c r="D12" s="219">
        <f t="shared" ref="D12:P12" si="2">SUM(D8:D10)</f>
        <v>1933300</v>
      </c>
      <c r="E12" s="219">
        <f t="shared" si="2"/>
        <v>1933300</v>
      </c>
      <c r="F12" s="219">
        <f t="shared" si="2"/>
        <v>1933300</v>
      </c>
      <c r="G12" s="219">
        <f t="shared" si="2"/>
        <v>1933300</v>
      </c>
      <c r="H12" s="219">
        <f t="shared" si="2"/>
        <v>1933300</v>
      </c>
      <c r="I12" s="219">
        <f t="shared" si="2"/>
        <v>1933300</v>
      </c>
      <c r="J12" s="219">
        <f t="shared" si="2"/>
        <v>0</v>
      </c>
      <c r="K12" s="219">
        <f t="shared" si="2"/>
        <v>0</v>
      </c>
      <c r="L12" s="219">
        <f t="shared" si="2"/>
        <v>0</v>
      </c>
      <c r="M12" s="219">
        <f t="shared" si="2"/>
        <v>0</v>
      </c>
      <c r="N12" s="219">
        <f t="shared" si="2"/>
        <v>0</v>
      </c>
      <c r="O12" s="219">
        <f t="shared" si="2"/>
        <v>0</v>
      </c>
      <c r="P12" s="219">
        <f t="shared" si="2"/>
        <v>13533100</v>
      </c>
      <c r="Q12" s="218"/>
      <c r="R12" s="220">
        <f>SUM(R8:R10)</f>
        <v>5599.99678</v>
      </c>
    </row>
    <row r="13" ht="19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9.5" customHeight="1">
      <c r="A14" s="221" t="s">
        <v>182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3"/>
      <c r="P14" s="224">
        <f>P12</f>
        <v>13533100</v>
      </c>
      <c r="Q14" s="225"/>
      <c r="R14" s="226">
        <f>R12</f>
        <v>5599.99678</v>
      </c>
    </row>
    <row r="15" ht="19.5" customHeight="1"/>
    <row r="16" ht="19.5" customHeight="1"/>
    <row r="17" ht="19.5" customHeight="1"/>
    <row r="18" ht="19.5" customHeight="1"/>
    <row r="19" ht="25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R1"/>
    <mergeCell ref="A2:R2"/>
    <mergeCell ref="A3:H3"/>
    <mergeCell ref="A5:B5"/>
    <mergeCell ref="D5:R5"/>
    <mergeCell ref="A14:O14"/>
  </mergeCells>
  <conditionalFormatting sqref="A3:H3">
    <cfRule type="colorScale" priority="1">
      <colorScale>
        <cfvo type="min"/>
        <cfvo type="max"/>
        <color rgb="FFFFFFFF"/>
        <color rgb="FF57BB8A"/>
      </colorScale>
    </cfRule>
  </conditionalFormatting>
  <hyperlinks>
    <hyperlink display="◀  BACK TO DASHBOARD" location="'🏠 Dashboard'!A1" ref="A3"/>
  </hyperlink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48.14"/>
    <col customWidth="1" min="3" max="3" width="48.43"/>
    <col customWidth="1" min="4" max="4" width="32.0"/>
    <col customWidth="1" min="5" max="5" width="35.0"/>
    <col customWidth="1" min="6" max="6" width="22.86"/>
    <col customWidth="1" min="7" max="7" width="32.43"/>
    <col customWidth="1" min="8" max="8" width="10.0"/>
    <col customWidth="1" min="9" max="9" width="36.0"/>
  </cols>
  <sheetData>
    <row r="1" ht="31.5" customHeight="1">
      <c r="A1" s="227" t="s">
        <v>147</v>
      </c>
      <c r="B1" s="2"/>
      <c r="C1" s="2"/>
      <c r="D1" s="2"/>
      <c r="E1" s="2"/>
      <c r="F1" s="2"/>
      <c r="G1" s="2"/>
      <c r="H1" s="2"/>
      <c r="I1" s="2"/>
    </row>
    <row r="2" ht="18.0" customHeight="1">
      <c r="A2" s="228" t="s">
        <v>183</v>
      </c>
    </row>
    <row r="3" ht="19.5" customHeight="1">
      <c r="A3" s="122" t="s">
        <v>109</v>
      </c>
      <c r="B3" s="118"/>
      <c r="C3" s="119"/>
      <c r="D3" s="229">
        <v>4.138E-4</v>
      </c>
      <c r="E3" s="118"/>
      <c r="F3" s="119"/>
      <c r="G3" s="134" t="s">
        <v>160</v>
      </c>
      <c r="H3" s="118"/>
      <c r="I3" s="119"/>
    </row>
    <row r="4" ht="6.0" customHeight="1">
      <c r="A4" s="4"/>
      <c r="B4" s="4"/>
      <c r="C4" s="4"/>
      <c r="D4" s="4"/>
      <c r="E4" s="4"/>
      <c r="F4" s="4"/>
      <c r="G4" s="4"/>
      <c r="H4" s="4"/>
      <c r="I4" s="4"/>
    </row>
    <row r="5" ht="27.75" customHeight="1">
      <c r="A5" s="230" t="s">
        <v>7</v>
      </c>
      <c r="B5" s="230" t="s">
        <v>184</v>
      </c>
      <c r="C5" s="230" t="s">
        <v>114</v>
      </c>
      <c r="D5" s="230" t="s">
        <v>185</v>
      </c>
      <c r="E5" s="230" t="s">
        <v>186</v>
      </c>
      <c r="F5" s="230" t="s">
        <v>118</v>
      </c>
      <c r="G5" s="230" t="s">
        <v>175</v>
      </c>
      <c r="H5" s="230" t="s">
        <v>187</v>
      </c>
      <c r="I5" s="230" t="s">
        <v>188</v>
      </c>
    </row>
    <row r="6" ht="21.75" customHeight="1">
      <c r="A6" s="231" t="s">
        <v>189</v>
      </c>
      <c r="B6" s="118"/>
      <c r="C6" s="118"/>
      <c r="D6" s="118"/>
      <c r="E6" s="118"/>
      <c r="F6" s="118"/>
      <c r="G6" s="118"/>
      <c r="H6" s="118"/>
      <c r="I6" s="119"/>
    </row>
    <row r="7" ht="19.5" customHeight="1">
      <c r="A7" s="141">
        <v>1.0</v>
      </c>
      <c r="B7" s="123" t="s">
        <v>190</v>
      </c>
      <c r="C7" s="123" t="s">
        <v>191</v>
      </c>
      <c r="D7" s="232" t="s">
        <v>192</v>
      </c>
      <c r="E7" s="233">
        <v>0.0</v>
      </c>
      <c r="F7" s="234"/>
      <c r="G7" s="143">
        <f>$D3</f>
        <v>0.0004138</v>
      </c>
      <c r="H7" s="235"/>
      <c r="I7" s="236">
        <f>E7*$D3</f>
        <v>0</v>
      </c>
    </row>
    <row r="8" ht="19.5" customHeight="1">
      <c r="A8" s="147">
        <v>2.0</v>
      </c>
      <c r="B8" s="123" t="s">
        <v>193</v>
      </c>
      <c r="C8" s="123" t="s">
        <v>194</v>
      </c>
      <c r="D8" s="237" t="s">
        <v>192</v>
      </c>
      <c r="E8" s="233">
        <v>0.0</v>
      </c>
      <c r="F8" s="234"/>
      <c r="G8" s="149">
        <f>$D3</f>
        <v>0.0004138</v>
      </c>
      <c r="H8" s="238"/>
      <c r="I8" s="236">
        <f>E8*$D3</f>
        <v>0</v>
      </c>
    </row>
    <row r="9" ht="19.5" customHeight="1">
      <c r="A9" s="141">
        <v>3.0</v>
      </c>
      <c r="B9" s="123" t="s">
        <v>195</v>
      </c>
      <c r="C9" s="123" t="s">
        <v>196</v>
      </c>
      <c r="D9" s="232" t="s">
        <v>197</v>
      </c>
      <c r="E9" s="233">
        <v>0.0</v>
      </c>
      <c r="F9" s="234"/>
      <c r="G9" s="143">
        <f>$D3</f>
        <v>0.0004138</v>
      </c>
      <c r="H9" s="235"/>
      <c r="I9" s="236">
        <f>E9*$D3</f>
        <v>0</v>
      </c>
    </row>
    <row r="10" ht="19.5" customHeight="1">
      <c r="A10" s="147">
        <v>4.0</v>
      </c>
      <c r="B10" s="123" t="s">
        <v>198</v>
      </c>
      <c r="C10" s="123" t="s">
        <v>199</v>
      </c>
      <c r="D10" s="237" t="s">
        <v>192</v>
      </c>
      <c r="E10" s="233">
        <v>0.0</v>
      </c>
      <c r="F10" s="234"/>
      <c r="G10" s="149">
        <f>$D3</f>
        <v>0.0004138</v>
      </c>
      <c r="H10" s="238"/>
      <c r="I10" s="236">
        <f>E10*$D3</f>
        <v>0</v>
      </c>
    </row>
    <row r="11" ht="19.5" customHeight="1">
      <c r="A11" s="141">
        <v>5.0</v>
      </c>
      <c r="B11" s="123"/>
      <c r="C11" s="123"/>
      <c r="D11" s="232"/>
      <c r="E11" s="233">
        <v>0.0</v>
      </c>
      <c r="F11" s="234"/>
      <c r="G11" s="143">
        <f>$D3</f>
        <v>0.0004138</v>
      </c>
      <c r="H11" s="235"/>
      <c r="I11" s="236">
        <f>E11*$D3</f>
        <v>0</v>
      </c>
    </row>
    <row r="12" ht="21.75" customHeight="1">
      <c r="A12" s="231" t="s">
        <v>200</v>
      </c>
      <c r="B12" s="118"/>
      <c r="C12" s="118"/>
      <c r="D12" s="119"/>
      <c r="E12" s="239">
        <f>SUM(E7:E11)</f>
        <v>0</v>
      </c>
      <c r="F12" s="240"/>
      <c r="G12" s="240"/>
      <c r="H12" s="240"/>
      <c r="I12" s="239">
        <f>SUM(I7:I11)</f>
        <v>0</v>
      </c>
    </row>
    <row r="13" ht="21.75" customHeight="1">
      <c r="A13" s="241" t="s">
        <v>201</v>
      </c>
      <c r="B13" s="118"/>
      <c r="C13" s="118"/>
      <c r="D13" s="118"/>
      <c r="E13" s="118"/>
      <c r="F13" s="118"/>
      <c r="G13" s="118"/>
      <c r="H13" s="118"/>
      <c r="I13" s="119"/>
    </row>
    <row r="14" ht="19.5" customHeight="1">
      <c r="A14" s="141">
        <v>6.0</v>
      </c>
      <c r="B14" s="123" t="s">
        <v>202</v>
      </c>
      <c r="C14" s="123" t="s">
        <v>203</v>
      </c>
      <c r="D14" s="232" t="s">
        <v>192</v>
      </c>
      <c r="E14" s="233">
        <v>0.0</v>
      </c>
      <c r="F14" s="234"/>
      <c r="G14" s="143">
        <f>$D3</f>
        <v>0.0004138</v>
      </c>
      <c r="H14" s="235"/>
      <c r="I14" s="236">
        <f>E14*$D3</f>
        <v>0</v>
      </c>
    </row>
    <row r="15" ht="19.5" customHeight="1">
      <c r="A15" s="147">
        <v>7.0</v>
      </c>
      <c r="B15" s="123" t="s">
        <v>204</v>
      </c>
      <c r="C15" s="123" t="s">
        <v>205</v>
      </c>
      <c r="D15" s="237" t="s">
        <v>192</v>
      </c>
      <c r="E15" s="233">
        <v>0.0</v>
      </c>
      <c r="F15" s="234"/>
      <c r="G15" s="149">
        <f>$D3</f>
        <v>0.0004138</v>
      </c>
      <c r="H15" s="238"/>
      <c r="I15" s="236">
        <f>E15*$D3</f>
        <v>0</v>
      </c>
    </row>
    <row r="16" ht="19.5" customHeight="1">
      <c r="A16" s="141">
        <v>8.0</v>
      </c>
      <c r="B16" s="123" t="s">
        <v>206</v>
      </c>
      <c r="C16" s="123" t="s">
        <v>207</v>
      </c>
      <c r="D16" s="232" t="s">
        <v>192</v>
      </c>
      <c r="E16" s="233">
        <v>0.0</v>
      </c>
      <c r="F16" s="234"/>
      <c r="G16" s="143">
        <f>$D3</f>
        <v>0.0004138</v>
      </c>
      <c r="H16" s="235"/>
      <c r="I16" s="236">
        <f>E16*$D3</f>
        <v>0</v>
      </c>
    </row>
    <row r="17" ht="19.5" customHeight="1">
      <c r="A17" s="147">
        <v>9.0</v>
      </c>
      <c r="B17" s="123" t="s">
        <v>208</v>
      </c>
      <c r="C17" s="123" t="s">
        <v>209</v>
      </c>
      <c r="D17" s="237" t="s">
        <v>192</v>
      </c>
      <c r="E17" s="233">
        <v>0.0</v>
      </c>
      <c r="F17" s="234"/>
      <c r="G17" s="149">
        <f>$D3</f>
        <v>0.0004138</v>
      </c>
      <c r="H17" s="238"/>
      <c r="I17" s="236">
        <f>E17*$D3</f>
        <v>0</v>
      </c>
    </row>
    <row r="18" ht="19.5" customHeight="1">
      <c r="A18" s="141">
        <v>10.0</v>
      </c>
      <c r="B18" s="123"/>
      <c r="C18" s="123"/>
      <c r="D18" s="232"/>
      <c r="E18" s="233">
        <v>0.0</v>
      </c>
      <c r="F18" s="234"/>
      <c r="G18" s="143">
        <f>$D3</f>
        <v>0.0004138</v>
      </c>
      <c r="H18" s="235"/>
      <c r="I18" s="236">
        <f>E18*$D3</f>
        <v>0</v>
      </c>
    </row>
    <row r="19" ht="21.75" customHeight="1">
      <c r="A19" s="241" t="s">
        <v>210</v>
      </c>
      <c r="B19" s="118"/>
      <c r="C19" s="118"/>
      <c r="D19" s="119"/>
      <c r="E19" s="242">
        <f>SUM(E14:E18)</f>
        <v>0</v>
      </c>
      <c r="F19" s="243"/>
      <c r="G19" s="243"/>
      <c r="H19" s="243"/>
      <c r="I19" s="242">
        <f>SUM(I14:I18)</f>
        <v>0</v>
      </c>
    </row>
    <row r="20" ht="21.75" customHeight="1">
      <c r="A20" s="244" t="s">
        <v>211</v>
      </c>
      <c r="B20" s="118"/>
      <c r="C20" s="118"/>
      <c r="D20" s="118"/>
      <c r="E20" s="118"/>
      <c r="F20" s="118"/>
      <c r="G20" s="118"/>
      <c r="H20" s="118"/>
      <c r="I20" s="119"/>
    </row>
    <row r="21" ht="19.5" customHeight="1">
      <c r="A21" s="141">
        <v>11.0</v>
      </c>
      <c r="B21" s="123" t="s">
        <v>212</v>
      </c>
      <c r="C21" s="123" t="s">
        <v>213</v>
      </c>
      <c r="D21" s="232" t="s">
        <v>214</v>
      </c>
      <c r="E21" s="233">
        <v>0.0</v>
      </c>
      <c r="F21" s="234"/>
      <c r="G21" s="143">
        <f>$D3</f>
        <v>0.0004138</v>
      </c>
      <c r="H21" s="235"/>
      <c r="I21" s="236">
        <f>E21*$D3</f>
        <v>0</v>
      </c>
    </row>
    <row r="22" ht="19.5" customHeight="1">
      <c r="A22" s="147">
        <v>12.0</v>
      </c>
      <c r="B22" s="123" t="s">
        <v>215</v>
      </c>
      <c r="C22" s="123" t="s">
        <v>216</v>
      </c>
      <c r="D22" s="237" t="s">
        <v>214</v>
      </c>
      <c r="E22" s="233">
        <v>0.0</v>
      </c>
      <c r="F22" s="234"/>
      <c r="G22" s="149">
        <f>$D3</f>
        <v>0.0004138</v>
      </c>
      <c r="H22" s="238"/>
      <c r="I22" s="236">
        <f>E22*$D3</f>
        <v>0</v>
      </c>
    </row>
    <row r="23" ht="19.5" customHeight="1">
      <c r="A23" s="141">
        <v>13.0</v>
      </c>
      <c r="B23" s="123" t="s">
        <v>217</v>
      </c>
      <c r="C23" s="123" t="s">
        <v>218</v>
      </c>
      <c r="D23" s="232" t="s">
        <v>192</v>
      </c>
      <c r="E23" s="233">
        <v>0.0</v>
      </c>
      <c r="F23" s="234"/>
      <c r="G23" s="143">
        <f>$D3</f>
        <v>0.0004138</v>
      </c>
      <c r="H23" s="235"/>
      <c r="I23" s="236">
        <f>E23*$D3</f>
        <v>0</v>
      </c>
    </row>
    <row r="24" ht="19.5" customHeight="1">
      <c r="A24" s="147">
        <v>14.0</v>
      </c>
      <c r="B24" s="123" t="s">
        <v>219</v>
      </c>
      <c r="C24" s="123" t="s">
        <v>220</v>
      </c>
      <c r="D24" s="237" t="s">
        <v>214</v>
      </c>
      <c r="E24" s="233">
        <v>0.0</v>
      </c>
      <c r="F24" s="234"/>
      <c r="G24" s="149">
        <f>$D3</f>
        <v>0.0004138</v>
      </c>
      <c r="H24" s="238"/>
      <c r="I24" s="236">
        <f>E24*$D3</f>
        <v>0</v>
      </c>
    </row>
    <row r="25" ht="19.5" customHeight="1">
      <c r="A25" s="141">
        <v>15.0</v>
      </c>
      <c r="B25" s="123"/>
      <c r="C25" s="123"/>
      <c r="D25" s="232"/>
      <c r="E25" s="233">
        <v>0.0</v>
      </c>
      <c r="F25" s="234"/>
      <c r="G25" s="143">
        <f>$D3</f>
        <v>0.0004138</v>
      </c>
      <c r="H25" s="235"/>
      <c r="I25" s="236">
        <f>E25*$D3</f>
        <v>0</v>
      </c>
    </row>
    <row r="26" ht="21.75" customHeight="1">
      <c r="A26" s="244" t="s">
        <v>221</v>
      </c>
      <c r="B26" s="118"/>
      <c r="C26" s="118"/>
      <c r="D26" s="119"/>
      <c r="E26" s="245">
        <f>SUM(E21:E25)</f>
        <v>0</v>
      </c>
      <c r="F26" s="246"/>
      <c r="G26" s="246"/>
      <c r="H26" s="246"/>
      <c r="I26" s="245">
        <f>SUM(I21:I25)</f>
        <v>0</v>
      </c>
    </row>
    <row r="27" ht="21.75" customHeight="1">
      <c r="A27" s="247" t="s">
        <v>222</v>
      </c>
      <c r="B27" s="118"/>
      <c r="C27" s="118"/>
      <c r="D27" s="118"/>
      <c r="E27" s="118"/>
      <c r="F27" s="118"/>
      <c r="G27" s="118"/>
      <c r="H27" s="118"/>
      <c r="I27" s="119"/>
    </row>
    <row r="28" ht="19.5" customHeight="1">
      <c r="A28" s="141">
        <v>16.0</v>
      </c>
      <c r="B28" s="123" t="s">
        <v>223</v>
      </c>
      <c r="C28" s="123" t="s">
        <v>224</v>
      </c>
      <c r="D28" s="232" t="s">
        <v>225</v>
      </c>
      <c r="E28" s="233">
        <v>0.0</v>
      </c>
      <c r="F28" s="234"/>
      <c r="G28" s="143">
        <f>$D3</f>
        <v>0.0004138</v>
      </c>
      <c r="H28" s="235"/>
      <c r="I28" s="236">
        <f>E28*$D3</f>
        <v>0</v>
      </c>
    </row>
    <row r="29" ht="19.5" customHeight="1">
      <c r="A29" s="147">
        <v>17.0</v>
      </c>
      <c r="B29" s="123" t="s">
        <v>226</v>
      </c>
      <c r="C29" s="123" t="s">
        <v>227</v>
      </c>
      <c r="D29" s="237" t="s">
        <v>225</v>
      </c>
      <c r="E29" s="233">
        <v>0.0</v>
      </c>
      <c r="F29" s="234"/>
      <c r="G29" s="149">
        <f>$D3</f>
        <v>0.0004138</v>
      </c>
      <c r="H29" s="238"/>
      <c r="I29" s="236">
        <f>E29*$D3</f>
        <v>0</v>
      </c>
    </row>
    <row r="30" ht="19.5" customHeight="1">
      <c r="A30" s="141">
        <v>18.0</v>
      </c>
      <c r="B30" s="123" t="s">
        <v>228</v>
      </c>
      <c r="C30" s="123" t="s">
        <v>229</v>
      </c>
      <c r="D30" s="232" t="s">
        <v>225</v>
      </c>
      <c r="E30" s="233">
        <v>0.0</v>
      </c>
      <c r="F30" s="234"/>
      <c r="G30" s="143">
        <f>$D3</f>
        <v>0.0004138</v>
      </c>
      <c r="H30" s="235"/>
      <c r="I30" s="236">
        <f>E30*$D3</f>
        <v>0</v>
      </c>
    </row>
    <row r="31" ht="19.5" customHeight="1">
      <c r="A31" s="147">
        <v>19.0</v>
      </c>
      <c r="B31" s="123"/>
      <c r="C31" s="123"/>
      <c r="D31" s="237"/>
      <c r="E31" s="233">
        <v>0.0</v>
      </c>
      <c r="F31" s="234"/>
      <c r="G31" s="149">
        <f>$D3</f>
        <v>0.0004138</v>
      </c>
      <c r="H31" s="238"/>
      <c r="I31" s="236">
        <f>E31*$D3</f>
        <v>0</v>
      </c>
    </row>
    <row r="32" ht="21.75" customHeight="1">
      <c r="A32" s="247" t="s">
        <v>230</v>
      </c>
      <c r="B32" s="118"/>
      <c r="C32" s="118"/>
      <c r="D32" s="119"/>
      <c r="E32" s="248">
        <f>SUM(E28:E31)</f>
        <v>0</v>
      </c>
      <c r="F32" s="249"/>
      <c r="G32" s="249"/>
      <c r="H32" s="249"/>
      <c r="I32" s="248">
        <f>SUM(I28:I31)</f>
        <v>0</v>
      </c>
    </row>
    <row r="33" ht="21.75" customHeight="1">
      <c r="A33" s="250" t="s">
        <v>231</v>
      </c>
      <c r="B33" s="118"/>
      <c r="C33" s="118"/>
      <c r="D33" s="118"/>
      <c r="E33" s="118"/>
      <c r="F33" s="118"/>
      <c r="G33" s="118"/>
      <c r="H33" s="118"/>
      <c r="I33" s="119"/>
    </row>
    <row r="34" ht="19.5" customHeight="1">
      <c r="A34" s="141">
        <v>20.0</v>
      </c>
      <c r="B34" s="123" t="s">
        <v>232</v>
      </c>
      <c r="C34" s="123" t="s">
        <v>233</v>
      </c>
      <c r="D34" s="232" t="s">
        <v>192</v>
      </c>
      <c r="E34" s="233">
        <v>0.0</v>
      </c>
      <c r="F34" s="234"/>
      <c r="G34" s="143">
        <f>$D3</f>
        <v>0.0004138</v>
      </c>
      <c r="H34" s="235"/>
      <c r="I34" s="236">
        <f>E34*$D3</f>
        <v>0</v>
      </c>
    </row>
    <row r="35" ht="19.5" customHeight="1">
      <c r="A35" s="147">
        <v>21.0</v>
      </c>
      <c r="B35" s="123" t="s">
        <v>234</v>
      </c>
      <c r="C35" s="123" t="s">
        <v>235</v>
      </c>
      <c r="D35" s="237" t="s">
        <v>192</v>
      </c>
      <c r="E35" s="233">
        <v>0.0</v>
      </c>
      <c r="F35" s="234"/>
      <c r="G35" s="149">
        <f>$D3</f>
        <v>0.0004138</v>
      </c>
      <c r="H35" s="238"/>
      <c r="I35" s="236">
        <f>E35*$D3</f>
        <v>0</v>
      </c>
    </row>
    <row r="36" ht="19.5" customHeight="1">
      <c r="A36" s="141">
        <v>22.0</v>
      </c>
      <c r="B36" s="123" t="s">
        <v>236</v>
      </c>
      <c r="C36" s="123" t="s">
        <v>237</v>
      </c>
      <c r="D36" s="232" t="s">
        <v>238</v>
      </c>
      <c r="E36" s="233">
        <v>0.0</v>
      </c>
      <c r="F36" s="234"/>
      <c r="G36" s="143">
        <f>$D3</f>
        <v>0.0004138</v>
      </c>
      <c r="H36" s="235"/>
      <c r="I36" s="236">
        <f>E36*$D3</f>
        <v>0</v>
      </c>
    </row>
    <row r="37" ht="19.5" customHeight="1">
      <c r="A37" s="147">
        <v>23.0</v>
      </c>
      <c r="B37" s="123" t="s">
        <v>239</v>
      </c>
      <c r="C37" s="123" t="s">
        <v>240</v>
      </c>
      <c r="D37" s="237" t="s">
        <v>192</v>
      </c>
      <c r="E37" s="233">
        <v>0.0</v>
      </c>
      <c r="F37" s="234"/>
      <c r="G37" s="149">
        <f>$D3</f>
        <v>0.0004138</v>
      </c>
      <c r="H37" s="238"/>
      <c r="I37" s="236">
        <f>E37*$D3</f>
        <v>0</v>
      </c>
    </row>
    <row r="38" ht="19.5" customHeight="1">
      <c r="A38" s="141">
        <v>24.0</v>
      </c>
      <c r="B38" s="123" t="s">
        <v>241</v>
      </c>
      <c r="C38" s="123" t="s">
        <v>242</v>
      </c>
      <c r="D38" s="232" t="s">
        <v>243</v>
      </c>
      <c r="E38" s="233">
        <v>0.0</v>
      </c>
      <c r="F38" s="234"/>
      <c r="G38" s="143">
        <f>$D3</f>
        <v>0.0004138</v>
      </c>
      <c r="H38" s="235"/>
      <c r="I38" s="236">
        <f>E38*$D3</f>
        <v>0</v>
      </c>
    </row>
    <row r="39" ht="19.5" customHeight="1">
      <c r="A39" s="147">
        <v>25.0</v>
      </c>
      <c r="B39" s="123"/>
      <c r="C39" s="123"/>
      <c r="D39" s="237"/>
      <c r="E39" s="233">
        <v>0.0</v>
      </c>
      <c r="F39" s="234"/>
      <c r="G39" s="149">
        <f>$D3</f>
        <v>0.0004138</v>
      </c>
      <c r="H39" s="238"/>
      <c r="I39" s="236">
        <f>E39*$D3</f>
        <v>0</v>
      </c>
    </row>
    <row r="40" ht="21.75" customHeight="1">
      <c r="A40" s="250" t="s">
        <v>244</v>
      </c>
      <c r="B40" s="118"/>
      <c r="C40" s="118"/>
      <c r="D40" s="119"/>
      <c r="E40" s="251">
        <f>SUM(E34:E39)</f>
        <v>0</v>
      </c>
      <c r="F40" s="252"/>
      <c r="G40" s="252"/>
      <c r="H40" s="252"/>
      <c r="I40" s="251">
        <f>SUM(I34:I39)</f>
        <v>0</v>
      </c>
    </row>
    <row r="41" ht="27.75" customHeight="1">
      <c r="A41" s="253" t="s">
        <v>245</v>
      </c>
      <c r="B41" s="118"/>
      <c r="C41" s="118"/>
      <c r="D41" s="119"/>
      <c r="E41" s="158">
        <f>SUM(E6:E40)</f>
        <v>0</v>
      </c>
      <c r="F41" s="160"/>
      <c r="G41" s="160"/>
      <c r="H41" s="160"/>
      <c r="I41" s="158">
        <f>SUM(I6:I40)</f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I1"/>
    <mergeCell ref="A2:I2"/>
    <mergeCell ref="A3:C3"/>
    <mergeCell ref="D3:F3"/>
    <mergeCell ref="G3:I3"/>
    <mergeCell ref="A6:I6"/>
    <mergeCell ref="A13:I13"/>
    <mergeCell ref="A40:D40"/>
    <mergeCell ref="A41:D41"/>
    <mergeCell ref="A12:D12"/>
    <mergeCell ref="A19:D19"/>
    <mergeCell ref="A20:I20"/>
    <mergeCell ref="A26:D26"/>
    <mergeCell ref="A27:I27"/>
    <mergeCell ref="A32:D32"/>
    <mergeCell ref="A33:I33"/>
  </mergeCells>
  <printOptions/>
  <pageMargins bottom="1.0" footer="0.0" header="0.0" left="0.75" right="0.75" top="1.0"/>
  <pageSetup orientation="landscape"/>
  <drawing r:id="rId1"/>
</worksheet>
</file>